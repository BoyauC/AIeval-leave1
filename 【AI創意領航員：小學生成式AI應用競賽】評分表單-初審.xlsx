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GoogDev2T2014_Y530\_Gm2-共用區\_莊老師區\__AI手冊第二期計畫_20260201-1231\_AI競賽\01國小\"/>
    </mc:Choice>
  </mc:AlternateContent>
  <xr:revisionPtr revIDLastSave="0" documentId="8_{2C302122-40E5-4DC9-AFD1-44508DA32B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國小組" sheetId="1" r:id="rId1"/>
    <sheet name="評分標準" sheetId="2" r:id="rId2"/>
    <sheet name="優勝獎勵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5" i="1" l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L16" i="1"/>
  <c r="H16" i="1"/>
  <c r="L15" i="1"/>
  <c r="H15" i="1"/>
  <c r="L14" i="1"/>
  <c r="H14" i="1"/>
  <c r="L13" i="1"/>
  <c r="H13" i="1"/>
  <c r="L12" i="1"/>
  <c r="H12" i="1"/>
  <c r="L11" i="1"/>
  <c r="H11" i="1"/>
  <c r="L10" i="1"/>
  <c r="H10" i="1"/>
  <c r="L9" i="1"/>
  <c r="H9" i="1"/>
  <c r="L8" i="1"/>
  <c r="H8" i="1"/>
  <c r="L7" i="1"/>
  <c r="H7" i="1"/>
  <c r="H6" i="1"/>
  <c r="K9" i="1" l="1"/>
  <c r="K12" i="1"/>
  <c r="K10" i="1"/>
  <c r="K8" i="1"/>
  <c r="K14" i="1"/>
  <c r="K7" i="1"/>
  <c r="K11" i="1"/>
  <c r="K15" i="1"/>
  <c r="K16" i="1"/>
  <c r="K13" i="1"/>
</calcChain>
</file>

<file path=xl/sharedStrings.xml><?xml version="1.0" encoding="utf-8"?>
<sst xmlns="http://schemas.openxmlformats.org/spreadsheetml/2006/main" count="128" uniqueCount="100">
  <si>
    <t>【AI創意領航員：小學生成式AI應用競賽】評分表單</t>
  </si>
  <si>
    <t>評審姓名</t>
  </si>
  <si>
    <t>莊宗嚴老師</t>
  </si>
  <si>
    <t>評分項目</t>
  </si>
  <si>
    <t>評審項目權重評分重點提問策略</t>
  </si>
  <si>
    <t>批判與修正</t>
  </si>
  <si>
    <t>原創性與應用</t>
  </si>
  <si>
    <t>AI及數位工具應用</t>
  </si>
  <si>
    <t>數位倫理</t>
  </si>
  <si>
    <t>總和</t>
  </si>
  <si>
    <t>比例</t>
  </si>
  <si>
    <t>組別</t>
  </si>
  <si>
    <t>題目</t>
  </si>
  <si>
    <t>請各位老師點選題目超連結觀看學生作品，並依評分項目填入對應分數，每項目最高20分；表單已設定公式自動加總及顯示前十高分，最後將依所有評審總分評選名次。</t>
  </si>
  <si>
    <t>按分數排列前十名</t>
  </si>
  <si>
    <t>感恩童詩卡</t>
  </si>
  <si>
    <t>名次</t>
  </si>
  <si>
    <t>分數</t>
  </si>
  <si>
    <t>《煮菜的用心》</t>
  </si>
  <si>
    <t>遊樂園的回憶</t>
  </si>
  <si>
    <t>【媽媽的溫暖,雨中的陽光】</t>
  </si>
  <si>
    <t>我的奶奶</t>
  </si>
  <si>
    <t>媽媽的笑容</t>
  </si>
  <si>
    <t>我的媽媽</t>
  </si>
  <si>
    <t>我的第二個媽媽</t>
  </si>
  <si>
    <t>共讀的美好時光</t>
  </si>
  <si>
    <t>淚中依靠</t>
  </si>
  <si>
    <t>我最愛的爸爸</t>
  </si>
  <si>
    <t>好詞好句的陽光</t>
  </si>
  <si>
    <t>寫給媽媽的一首詩</t>
  </si>
  <si>
    <t>給家人的詩</t>
  </si>
  <si>
    <t>媽媽的努力與付出</t>
  </si>
  <si>
    <t>感謝媽媽的童詩</t>
  </si>
  <si>
    <t>給學校的感恩童詩</t>
  </si>
  <si>
    <t>給全家人的童詩</t>
  </si>
  <si>
    <t>感恩童詩 媽​媽</t>
  </si>
  <si>
    <t>媽媽我愛你</t>
  </si>
  <si>
    <t>感恩童詩</t>
  </si>
  <si>
    <t>給爸媽的一首詩</t>
  </si>
  <si>
    <t>給媽媽的詩</t>
  </si>
  <si>
    <t>畢業感謝小卡</t>
  </si>
  <si>
    <t>畢業感恩卡</t>
  </si>
  <si>
    <t>畢業感謝卡</t>
  </si>
  <si>
    <t>畢業季祝福卡</t>
  </si>
  <si>
    <t>畢業祝福卡</t>
  </si>
  <si>
    <t>畢業季</t>
  </si>
  <si>
    <t>畢業記</t>
  </si>
  <si>
    <t>畢業快樂</t>
  </si>
  <si>
    <t>給全六年級</t>
  </si>
  <si>
    <t>畢業了!希望以後你們更加厲害!</t>
  </si>
  <si>
    <t>致畢業的”你們”</t>
  </si>
  <si>
    <t>夢想啟航</t>
  </si>
  <si>
    <t>畢業祝福</t>
  </si>
  <si>
    <t>恭賀畢業</t>
  </si>
  <si>
    <t>未來學校</t>
  </si>
  <si>
    <t>給六年級的卡片</t>
  </si>
  <si>
    <t>畢業生青春</t>
  </si>
  <si>
    <t>畢業卡</t>
  </si>
  <si>
    <t>夢想就在未來</t>
  </si>
  <si>
    <t>六年級畢業卡片</t>
  </si>
  <si>
    <t>畢業卡片</t>
  </si>
  <si>
    <t>六年級畢業照</t>
  </si>
  <si>
    <t>三麗鷗與哈利波特融合的畢業照</t>
  </si>
  <si>
    <t>像素關卡</t>
  </si>
  <si>
    <t>學習藏寶圖</t>
  </si>
  <si>
    <t>充滿機會的未來</t>
  </si>
  <si>
    <t>六年級畢業祝福</t>
  </si>
  <si>
    <t>荒野亂鬥祝賀畢業單</t>
  </si>
  <si>
    <t>畢業生卡片</t>
  </si>
  <si>
    <t>畢業金字塔</t>
  </si>
  <si>
    <t>未來任務</t>
  </si>
  <si>
    <t>給六年級的祝福語</t>
  </si>
  <si>
    <t>畢業 YA!</t>
  </si>
  <si>
    <t>畢業小兔子</t>
  </si>
  <si>
    <t>勇敢向前</t>
  </si>
  <si>
    <t>青春的花季</t>
  </si>
  <si>
    <t>比 YA!快樂</t>
  </si>
  <si>
    <t>Happy Graduation</t>
  </si>
  <si>
    <t>那年我們一起畢業了！</t>
  </si>
  <si>
    <t>畢業樂</t>
  </si>
  <si>
    <t>奔向未來</t>
  </si>
  <si>
    <t>畢業賀喜</t>
  </si>
  <si>
    <t>畢業快樂~YA!</t>
  </si>
  <si>
    <t>彩色畢業帽</t>
  </si>
  <si>
    <t>紙飛機的畢業旅行</t>
  </si>
  <si>
    <t>一路順風</t>
  </si>
  <si>
    <t>占比</t>
  </si>
  <si>
    <t>說明</t>
  </si>
  <si>
    <t>指令是否具備背景、任務、限制等明確架構。</t>
  </si>
  <si>
    <t>(重點) 發現 AI 錯誤或偏誤的能力，以及人工優化的程度。
 能發現AI內容的錯誤或不完整，並且理解AI在學習中的幫助角色，最後在產出之前能自己修改或補充資料，讓答案變更好。</t>
  </si>
  <si>
    <t>作品的主題創意、解決問題的實際可行性。</t>
  </si>
  <si>
    <t>能夠在依照不同任務選擇合適工具，在對話中能夠不斷迭代成果，並且能辨識風險保護個人隱私。</t>
  </si>
  <si>
    <t>能夠具備對AI的批判思考，思辨AI中的應用與取捨，並遵守著作權與學術誠信，覺察AI倫理，為展現人類價值，能正確標註AI工具使用範圍。</t>
  </si>
  <si>
    <t>遇有同分情形時，依（1）內容查證（2）對話流程能力的得分高低順序決定名次。</t>
  </si>
  <si>
    <t>優勝獎勵：</t>
  </si>
  <si>
    <t>參賽同學每人將頒發參賽證書乙張，賽後由評審評選出前三名及優選數名。</t>
  </si>
  <si>
    <t>特優：共 1 名。獎狀一張，頒發1,500元獎金或等值禮券。</t>
  </si>
  <si>
    <t>優等：共 2 名。獎狀一張，頒發1,000元獎金或等值禮券。</t>
  </si>
  <si>
    <t>佳作：共 5 名。獎狀一張，頒發500元獎金或等值禮券。</t>
  </si>
  <si>
    <t>最佳指導：頒發1,000元獎金或等值禮券及指導證明。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</si>
</sst>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color rgb="FF000000"/>
      <name val="Arial"/>
      <scheme val="minor"/>
    </font>
    <font>
      <b/>
      <sz val="20"/>
      <color theme="1"/>
      <name val="DFKai-SB"/>
      <family val="4"/>
      <charset val="136"/>
    </font>
    <font>
      <sz val="10"/>
      <color theme="1"/>
      <name val="DFKai-SB"/>
      <family val="4"/>
      <charset val="136"/>
    </font>
    <font>
      <sz val="12"/>
      <color theme="1"/>
      <name val="DFKai-SB"/>
      <family val="4"/>
      <charset val="136"/>
    </font>
    <font>
      <b/>
      <sz val="14"/>
      <color theme="1"/>
      <name val="DFKai-SB"/>
      <family val="4"/>
      <charset val="136"/>
    </font>
    <font>
      <b/>
      <sz val="12"/>
      <color theme="1"/>
      <name val="DFKai-SB"/>
      <family val="4"/>
      <charset val="136"/>
    </font>
    <font>
      <sz val="10"/>
      <name val="Arial"/>
    </font>
    <font>
      <sz val="13"/>
      <color theme="1"/>
      <name val="DFKai-SB"/>
      <family val="4"/>
      <charset val="136"/>
    </font>
    <font>
      <u/>
      <sz val="12"/>
      <color rgb="FF0000FF"/>
      <name val="DFKai-SB"/>
      <family val="4"/>
      <charset val="136"/>
    </font>
    <font>
      <u/>
      <sz val="12"/>
      <color rgb="FF0000FF"/>
      <name val="DFKai-SB"/>
      <family val="4"/>
      <charset val="136"/>
    </font>
    <font>
      <u/>
      <sz val="12"/>
      <color rgb="FF0000FF"/>
      <name val="DFKai-SB"/>
      <family val="4"/>
      <charset val="136"/>
    </font>
    <font>
      <u/>
      <sz val="12"/>
      <color rgb="FF0000FF"/>
      <name val="DFKai-SB"/>
      <family val="4"/>
      <charset val="136"/>
    </font>
    <font>
      <u/>
      <sz val="12"/>
      <color rgb="FF0000FF"/>
      <name val="DFKai-SB"/>
      <family val="4"/>
      <charset val="136"/>
    </font>
    <font>
      <u/>
      <sz val="12"/>
      <color rgb="FF0000FF"/>
      <name val="DFKai-SB"/>
      <family val="4"/>
      <charset val="136"/>
    </font>
    <font>
      <sz val="12"/>
      <color rgb="FF000000"/>
      <name val="DFKai-SB"/>
      <family val="4"/>
      <charset val="136"/>
    </font>
    <font>
      <sz val="9"/>
      <name val="Arial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7E1CD"/>
        <bgColor rgb="FFB7E1CD"/>
      </patternFill>
    </fill>
    <fill>
      <patternFill patternType="solid">
        <fgColor rgb="FFFFCEB9"/>
        <bgColor rgb="FFFFCEB9"/>
      </patternFill>
    </fill>
    <fill>
      <patternFill patternType="solid">
        <fgColor rgb="FFB6D7A8"/>
        <bgColor rgb="FFB6D7A8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9" fontId="5" fillId="2" borderId="3" xfId="0" applyNumberFormat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/>
    </xf>
    <xf numFmtId="0" fontId="3" fillId="0" borderId="3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0" fontId="3" fillId="0" borderId="1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10" fillId="0" borderId="3" xfId="0" applyFont="1" applyBorder="1" applyAlignment="1">
      <alignment horizontal="left" vertical="center"/>
    </xf>
    <xf numFmtId="0" fontId="3" fillId="0" borderId="15" xfId="0" applyFont="1" applyBorder="1" applyAlignment="1">
      <alignment horizontal="center" vertical="center"/>
    </xf>
    <xf numFmtId="0" fontId="11" fillId="0" borderId="4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12" fillId="0" borderId="3" xfId="0" applyFont="1" applyBorder="1"/>
    <xf numFmtId="0" fontId="3" fillId="0" borderId="17" xfId="0" applyFont="1" applyBorder="1" applyAlignment="1">
      <alignment horizontal="center" vertical="center"/>
    </xf>
    <xf numFmtId="0" fontId="13" fillId="0" borderId="18" xfId="0" applyFont="1" applyBorder="1"/>
    <xf numFmtId="0" fontId="3" fillId="0" borderId="19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4" fillId="3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4" fillId="0" borderId="3" xfId="0" applyFont="1" applyBorder="1" applyAlignment="1">
      <alignment vertical="center" wrapText="1"/>
    </xf>
    <xf numFmtId="9" fontId="3" fillId="0" borderId="3" xfId="0" applyNumberFormat="1" applyFont="1" applyBorder="1" applyAlignment="1">
      <alignment horizontal="center" vertical="center" wrapText="1"/>
    </xf>
    <xf numFmtId="9" fontId="14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0" xfId="0" applyFont="1"/>
    <xf numFmtId="0" fontId="14" fillId="4" borderId="3" xfId="0" applyFont="1" applyFill="1" applyBorder="1"/>
    <xf numFmtId="0" fontId="14" fillId="0" borderId="3" xfId="0" applyFont="1" applyBorder="1"/>
    <xf numFmtId="0" fontId="7" fillId="0" borderId="6" xfId="0" applyFont="1" applyBorder="1" applyAlignment="1">
      <alignment vertical="center" wrapText="1"/>
    </xf>
    <xf numFmtId="0" fontId="6" fillId="0" borderId="7" xfId="0" applyFont="1" applyBorder="1"/>
    <xf numFmtId="0" fontId="6" fillId="0" borderId="8" xfId="0" applyFont="1" applyBorder="1"/>
    <xf numFmtId="0" fontId="5" fillId="0" borderId="1" xfId="0" applyFont="1" applyBorder="1" applyAlignment="1">
      <alignment horizontal="center" vertical="center"/>
    </xf>
    <xf numFmtId="0" fontId="6" fillId="0" borderId="9" xfId="0" applyFont="1" applyBorder="1"/>
    <xf numFmtId="0" fontId="6" fillId="0" borderId="2" xfId="0" applyFont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6" fillId="0" borderId="5" xfId="0" applyFont="1" applyBorder="1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drive/folders/188jDMv25TpLBqNVZYYFqIAgmlGWXG_hN?usp=drive_link" TargetMode="External"/><Relationship Id="rId21" Type="http://schemas.openxmlformats.org/officeDocument/2006/relationships/hyperlink" Target="https://drive.google.com/drive/folders/19USlSVSv2SIw0PZGMnxM8GhfLmPqjfQX?usp=drive_link" TargetMode="External"/><Relationship Id="rId42" Type="http://schemas.openxmlformats.org/officeDocument/2006/relationships/hyperlink" Target="https://drive.google.com/drive/folders/1Uy8UDrRBArkqLS1EAGIqzsVFFg7rgbBC?usp=drive_link" TargetMode="External"/><Relationship Id="rId47" Type="http://schemas.openxmlformats.org/officeDocument/2006/relationships/hyperlink" Target="https://drive.google.com/drive/folders/1ANDE2zUKaSMB6j54fD6uCIcm0zJ570Kz?usp=drive_link" TargetMode="External"/><Relationship Id="rId63" Type="http://schemas.openxmlformats.org/officeDocument/2006/relationships/hyperlink" Target="https://drive.google.com/drive/folders/104JvpRd07IC--CvnA3n5wtq2MjOYCFLx?usp=drive_link" TargetMode="External"/><Relationship Id="rId68" Type="http://schemas.openxmlformats.org/officeDocument/2006/relationships/hyperlink" Target="https://drive.google.com/drive/folders/1vXlDMsLcDyjyAyJvkkR-iTHe4fymj_qL?usp=drive_link" TargetMode="External"/><Relationship Id="rId84" Type="http://schemas.openxmlformats.org/officeDocument/2006/relationships/hyperlink" Target="https://drive.google.com/drive/folders/15_bttYr_O8RJ8pAzkotapQr9PSkULw7T?usp=sharing" TargetMode="External"/><Relationship Id="rId89" Type="http://schemas.openxmlformats.org/officeDocument/2006/relationships/hyperlink" Target="https://drive.google.com/drive/folders/1l0PUqi_69AWLZxHQU4InTr5zf77AloXk?usp=drive_link" TargetMode="External"/><Relationship Id="rId16" Type="http://schemas.openxmlformats.org/officeDocument/2006/relationships/hyperlink" Target="https://drive.google.com/drive/folders/1VtB19gOUItniD77Th6eS2E2Kz78gaRzt?usp=drive_link" TargetMode="External"/><Relationship Id="rId11" Type="http://schemas.openxmlformats.org/officeDocument/2006/relationships/hyperlink" Target="https://drive.google.com/drive/folders/1dd2arIsP2mCz-AebcdyZNsWLUmEnGz9G?usp=drive_link" TargetMode="External"/><Relationship Id="rId32" Type="http://schemas.openxmlformats.org/officeDocument/2006/relationships/hyperlink" Target="https://drive.google.com/drive/folders/1f3joApNQ3P1JRjCtQ50TgcH2qOE5so75?usp=drive_link" TargetMode="External"/><Relationship Id="rId37" Type="http://schemas.openxmlformats.org/officeDocument/2006/relationships/hyperlink" Target="https://drive.google.com/drive/folders/1U2X9ak9EEx2TYrWI66MO-hMprFpGzAOp?usp=drive_link" TargetMode="External"/><Relationship Id="rId53" Type="http://schemas.openxmlformats.org/officeDocument/2006/relationships/hyperlink" Target="https://drive.google.com/drive/folders/1-ZG6ctQp0x25zU7FXU4zeIr5WNtWgnEy?usp=drive_link" TargetMode="External"/><Relationship Id="rId58" Type="http://schemas.openxmlformats.org/officeDocument/2006/relationships/hyperlink" Target="https://drive.google.com/drive/folders/1YErOqTPo--VL_yeVb6htVZRsoMG_quyM?usp=drive_link" TargetMode="External"/><Relationship Id="rId74" Type="http://schemas.openxmlformats.org/officeDocument/2006/relationships/hyperlink" Target="https://drive.google.com/drive/folders/1Q66oD0Xb9rjKJnRSR2AI8z-54h7Xw3Lj?usp=drive_link" TargetMode="External"/><Relationship Id="rId79" Type="http://schemas.openxmlformats.org/officeDocument/2006/relationships/hyperlink" Target="https://drive.google.com/drive/folders/1Dm6ke0dKzt-cdHYrKOd0DSP4gNV8Dfon?usp=drive_link" TargetMode="External"/><Relationship Id="rId5" Type="http://schemas.openxmlformats.org/officeDocument/2006/relationships/hyperlink" Target="https://drive.google.com/drive/folders/1w3ZTB0L8DuvnGtAXIIjHNcxX68wvdgJ0?usp=sharing" TargetMode="External"/><Relationship Id="rId90" Type="http://schemas.openxmlformats.org/officeDocument/2006/relationships/hyperlink" Target="https://drive.google.com/drive/folders/1HDz2zuqhxf6zxSVbxk6h7P2t8RFO2tg2?usp=drive_link" TargetMode="External"/><Relationship Id="rId14" Type="http://schemas.openxmlformats.org/officeDocument/2006/relationships/hyperlink" Target="https://drive.google.com/drive/folders/1DSEIRZnfEbld29kLJL90War6YzJSZ5KH?usp=drive_link" TargetMode="External"/><Relationship Id="rId22" Type="http://schemas.openxmlformats.org/officeDocument/2006/relationships/hyperlink" Target="https://drive.google.com/drive/folders/1-dM8ojcf7krqF8GQBhJdcdZw1Hp4-ejy?usp=drive_link" TargetMode="External"/><Relationship Id="rId27" Type="http://schemas.openxmlformats.org/officeDocument/2006/relationships/hyperlink" Target="https://drive.google.com/drive/folders/1OxWmnPvV-GcEisPr9z4D9uBQX9OF0JCU?usp=drive_link" TargetMode="External"/><Relationship Id="rId30" Type="http://schemas.openxmlformats.org/officeDocument/2006/relationships/hyperlink" Target="https://drive.google.com/drive/folders/1Jo_8my4IcU8CuKH_P645qFv69sZdJ2nE?usp=drive_link" TargetMode="External"/><Relationship Id="rId35" Type="http://schemas.openxmlformats.org/officeDocument/2006/relationships/hyperlink" Target="https://drive.google.com/drive/folders/1Dqp3OlQCXsMdzUiqIDKyhVN5VG7I_bnc?usp=drive_link" TargetMode="External"/><Relationship Id="rId43" Type="http://schemas.openxmlformats.org/officeDocument/2006/relationships/hyperlink" Target="https://drive.google.com/drive/folders/1_TSyQtfyDjoYly2K8hQkAwMQSVJKMhOo?usp=drive_link" TargetMode="External"/><Relationship Id="rId48" Type="http://schemas.openxmlformats.org/officeDocument/2006/relationships/hyperlink" Target="https://drive.google.com/drive/folders/1-4SRgJeJs_Uwimj1ANp2gihs5eLtb5HF?usp=drive_link" TargetMode="External"/><Relationship Id="rId56" Type="http://schemas.openxmlformats.org/officeDocument/2006/relationships/hyperlink" Target="https://drive.google.com/drive/folders/1Rq_o_nSgR6rG779Bi2erhPQlcCITbX3q?usp=drive_link" TargetMode="External"/><Relationship Id="rId64" Type="http://schemas.openxmlformats.org/officeDocument/2006/relationships/hyperlink" Target="https://drive.google.com/drive/folders/11fCNbLcIUP0CufME2rIkEQrO8GvX-2ew?usp=drive_link" TargetMode="External"/><Relationship Id="rId69" Type="http://schemas.openxmlformats.org/officeDocument/2006/relationships/hyperlink" Target="https://drive.google.com/drive/folders/1UupGyWKYN62m6H8mIzYC7OHAKrcWlLUV?usp=drive_link" TargetMode="External"/><Relationship Id="rId77" Type="http://schemas.openxmlformats.org/officeDocument/2006/relationships/hyperlink" Target="https://drive.google.com/drive/folders/1tPwqTpq0qegHjtQSpmV1TbHJUcR5OKQD?usp=drive_link" TargetMode="External"/><Relationship Id="rId8" Type="http://schemas.openxmlformats.org/officeDocument/2006/relationships/hyperlink" Target="https://drive.google.com/drive/folders/1jq-CzTxsz1uABQpnkJSL88Usg18mztFY?usp=drive_link" TargetMode="External"/><Relationship Id="rId51" Type="http://schemas.openxmlformats.org/officeDocument/2006/relationships/hyperlink" Target="https://drive.google.com/drive/folders/1f22E4JOxyVHvxSoO31ynDWTy90ZD6UNq?usp=drive_link" TargetMode="External"/><Relationship Id="rId72" Type="http://schemas.openxmlformats.org/officeDocument/2006/relationships/hyperlink" Target="https://drive.google.com/drive/folders/1JCDPr1IaLylZrH3sX5Q_rlvQ08ye5pE5?usp=drive_link" TargetMode="External"/><Relationship Id="rId80" Type="http://schemas.openxmlformats.org/officeDocument/2006/relationships/hyperlink" Target="https://drive.google.com/drive/folders/19fmR985U9v_zGz_cJprZZ9vO7CRzo_rW?usp=drive_link" TargetMode="External"/><Relationship Id="rId85" Type="http://schemas.openxmlformats.org/officeDocument/2006/relationships/hyperlink" Target="https://drive.google.com/drive/folders/1No6IJ3FckEGLDtMFbTME1aVUxN2ZPoUA?usp=drive_link" TargetMode="External"/><Relationship Id="rId3" Type="http://schemas.openxmlformats.org/officeDocument/2006/relationships/hyperlink" Target="https://drive.google.com/drive/folders/1xkXNxTHsiyynLkF8K48g8Vu1z9FNtWHM?usp=drive_link" TargetMode="External"/><Relationship Id="rId12" Type="http://schemas.openxmlformats.org/officeDocument/2006/relationships/hyperlink" Target="https://drive.google.com/drive/folders/12Fki_UjbXVjkBlbAV_pj2NUGu_tbl9QG?usp=drive_link" TargetMode="External"/><Relationship Id="rId17" Type="http://schemas.openxmlformats.org/officeDocument/2006/relationships/hyperlink" Target="https://drive.google.com/drive/folders/1PeMqXFApLt7A2gqRT5sq2fVMxciGhHJ5?usp=drive_link" TargetMode="External"/><Relationship Id="rId25" Type="http://schemas.openxmlformats.org/officeDocument/2006/relationships/hyperlink" Target="https://drive.google.com/drive/folders/1cuId7GekrzJwwBVxnkwSwbwuv5_8_K5F?usp=drive_link" TargetMode="External"/><Relationship Id="rId33" Type="http://schemas.openxmlformats.org/officeDocument/2006/relationships/hyperlink" Target="https://drive.google.com/drive/folders/1wITYyzwU0LVTh7hqStqo2scMuHw3TqCI?usp=drive_link" TargetMode="External"/><Relationship Id="rId38" Type="http://schemas.openxmlformats.org/officeDocument/2006/relationships/hyperlink" Target="https://drive.google.com/drive/folders/1WMy1tniOJGQ5wql2CChBOR8VfhXAdKOH?usp=drive_link" TargetMode="External"/><Relationship Id="rId46" Type="http://schemas.openxmlformats.org/officeDocument/2006/relationships/hyperlink" Target="https://drive.google.com/drive/folders/1wPh8XzVdbal5gd2LGdMJm9uaZ0oHIdsq?usp=drive_link" TargetMode="External"/><Relationship Id="rId59" Type="http://schemas.openxmlformats.org/officeDocument/2006/relationships/hyperlink" Target="https://drive.google.com/drive/folders/1ugXv6Ixc1dO-Q43jg5PydQi66A6NrXzj?usp=drive_link" TargetMode="External"/><Relationship Id="rId67" Type="http://schemas.openxmlformats.org/officeDocument/2006/relationships/hyperlink" Target="https://drive.google.com/drive/folders/1egq1m8hwhUwP3WFHv91trXDJIPhFWQvN?usp=drive_link" TargetMode="External"/><Relationship Id="rId20" Type="http://schemas.openxmlformats.org/officeDocument/2006/relationships/hyperlink" Target="https://drive.google.com/drive/folders/1GozUpUj9i6D_JX_5O0XHRQlo82_QeXX_?usp=drive_link" TargetMode="External"/><Relationship Id="rId41" Type="http://schemas.openxmlformats.org/officeDocument/2006/relationships/hyperlink" Target="https://drive.google.com/drive/folders/1Of-4oVkepK4WfbErp1oOwkmvd4WUhtzD?usp=drive_link" TargetMode="External"/><Relationship Id="rId54" Type="http://schemas.openxmlformats.org/officeDocument/2006/relationships/hyperlink" Target="https://drive.google.com/drive/folders/1mJ0rxitvHvNrSzGSuIFUgVw3ghfRg_SA?usp=drive_link" TargetMode="External"/><Relationship Id="rId62" Type="http://schemas.openxmlformats.org/officeDocument/2006/relationships/hyperlink" Target="https://drive.google.com/drive/folders/16uE9ggnNfIJFIHn2y_M2x9HVdn7uDlUP?usp=drive_link" TargetMode="External"/><Relationship Id="rId70" Type="http://schemas.openxmlformats.org/officeDocument/2006/relationships/hyperlink" Target="https://drive.google.com/drive/folders/1TrKoBOAwdKwv62rMABwKR26c8NtGYYiK?usp=drive_link" TargetMode="External"/><Relationship Id="rId75" Type="http://schemas.openxmlformats.org/officeDocument/2006/relationships/hyperlink" Target="https://drive.google.com/drive/folders/17nZxF0ycmlNu0IUM1HoJjiuVVZDmpBHu?usp=drive_link" TargetMode="External"/><Relationship Id="rId83" Type="http://schemas.openxmlformats.org/officeDocument/2006/relationships/hyperlink" Target="https://drive.google.com/drive/folders/1SRW6D8HAK76ArsWovcxb9-pys7cKfk8D?usp=drive_link" TargetMode="External"/><Relationship Id="rId88" Type="http://schemas.openxmlformats.org/officeDocument/2006/relationships/hyperlink" Target="https://drive.google.com/drive/folders/1Bp6exP2iiubjtiioVAaupQJjMhFFY5P8?usp=drive_link" TargetMode="External"/><Relationship Id="rId1" Type="http://schemas.openxmlformats.org/officeDocument/2006/relationships/hyperlink" Target="https://drive.google.com/drive/folders/1v2eZR1toHZFGJ4bhts-u101s5VKb1fOA?usp=drive_link" TargetMode="External"/><Relationship Id="rId6" Type="http://schemas.openxmlformats.org/officeDocument/2006/relationships/hyperlink" Target="https://drive.google.com/drive/folders/1LRK4Yrn5gf-5zjd0T5uKlV4Huvul6ECX?usp=drive_link" TargetMode="External"/><Relationship Id="rId15" Type="http://schemas.openxmlformats.org/officeDocument/2006/relationships/hyperlink" Target="https://drive.google.com/drive/folders/1VmqEsOopreexqh4JYa7HYViD9zvWmjrZ?usp=drive_link" TargetMode="External"/><Relationship Id="rId23" Type="http://schemas.openxmlformats.org/officeDocument/2006/relationships/hyperlink" Target="https://drive.google.com/drive/folders/1mOCxJOAbXZEwi65FoJChLeQLNMzCp4MG?usp=drive_link" TargetMode="External"/><Relationship Id="rId28" Type="http://schemas.openxmlformats.org/officeDocument/2006/relationships/hyperlink" Target="https://drive.google.com/drive/folders/1nVB01g3kitJaaPBT860Dj9lwGHXzBlVi?usp=drive_link" TargetMode="External"/><Relationship Id="rId36" Type="http://schemas.openxmlformats.org/officeDocument/2006/relationships/hyperlink" Target="https://drive.google.com/drive/folders/13C13yBB5r5_L7JbMhrDPfvckxdiISnPZ?usp=drive_link" TargetMode="External"/><Relationship Id="rId49" Type="http://schemas.openxmlformats.org/officeDocument/2006/relationships/hyperlink" Target="https://drive.google.com/drive/folders/1dymJWoWfRXg0VZoeUzNg4gVooylIXWJj?usp=drive_link" TargetMode="External"/><Relationship Id="rId57" Type="http://schemas.openxmlformats.org/officeDocument/2006/relationships/hyperlink" Target="https://drive.google.com/drive/folders/1P9YmkqYwyhZPCtMT5Ywbx3GEGK_BN-Gh?usp=drive_link" TargetMode="External"/><Relationship Id="rId10" Type="http://schemas.openxmlformats.org/officeDocument/2006/relationships/hyperlink" Target="https://drive.google.com/drive/folders/158r9f__m2UPyV71jPuVmyiiwyL0M7ou6?usp=drive_link" TargetMode="External"/><Relationship Id="rId31" Type="http://schemas.openxmlformats.org/officeDocument/2006/relationships/hyperlink" Target="https://drive.google.com/drive/folders/1HTBOuxus00W8uISbUDmzsIbwcjkJB8Zu?usp=drive_link" TargetMode="External"/><Relationship Id="rId44" Type="http://schemas.openxmlformats.org/officeDocument/2006/relationships/hyperlink" Target="https://drive.google.com/drive/folders/10a_crs5eNeF_MYh08-oPhr4ILq8uvOnM?usp=drive_link" TargetMode="External"/><Relationship Id="rId52" Type="http://schemas.openxmlformats.org/officeDocument/2006/relationships/hyperlink" Target="https://drive.google.com/drive/folders/1PDElN4aS3cNwJncK4it0pn02nKIMQ4FM?usp=drive_link" TargetMode="External"/><Relationship Id="rId60" Type="http://schemas.openxmlformats.org/officeDocument/2006/relationships/hyperlink" Target="https://drive.google.com/drive/folders/16XYNfskjddL_yVTm7RpkR_B0_AUnmiqP?usp=drive_link" TargetMode="External"/><Relationship Id="rId65" Type="http://schemas.openxmlformats.org/officeDocument/2006/relationships/hyperlink" Target="https://drive.google.com/drive/folders/17mlGcrlibR0pq1dPzWJqbyIHh_1fEE3o?usp=drive_link" TargetMode="External"/><Relationship Id="rId73" Type="http://schemas.openxmlformats.org/officeDocument/2006/relationships/hyperlink" Target="https://drive.google.com/drive/folders/18FV6Mh9FbhPUvd6FrpmE0wjcGfITsUaZ?usp=drive_link" TargetMode="External"/><Relationship Id="rId78" Type="http://schemas.openxmlformats.org/officeDocument/2006/relationships/hyperlink" Target="https://drive.google.com/drive/folders/1VGeb9vRoX4qgxoy0_ysYViVQ7YBuqs77?usp=drive_link" TargetMode="External"/><Relationship Id="rId81" Type="http://schemas.openxmlformats.org/officeDocument/2006/relationships/hyperlink" Target="https://drive.google.com/drive/folders/1s3WNLyQNWWkoALyWKKobwLb6oyIrwA8C?usp=drive_link" TargetMode="External"/><Relationship Id="rId86" Type="http://schemas.openxmlformats.org/officeDocument/2006/relationships/hyperlink" Target="https://drive.google.com/drive/folders/1GQ9CQLR_tnHuU9_ApejkysRtx9GKVtgt?usp=drive_link" TargetMode="External"/><Relationship Id="rId4" Type="http://schemas.openxmlformats.org/officeDocument/2006/relationships/hyperlink" Target="https://drive.google.com/drive/folders/1AUyC5L-ySi6xw1C4Iu5O1hXPKoe09Pky?usp=drive_link" TargetMode="External"/><Relationship Id="rId9" Type="http://schemas.openxmlformats.org/officeDocument/2006/relationships/hyperlink" Target="https://drive.google.com/drive/folders/14UnuFAVLFzUKx9kQcTJZSfSOlARz5mBv?usp=drive_link" TargetMode="External"/><Relationship Id="rId13" Type="http://schemas.openxmlformats.org/officeDocument/2006/relationships/hyperlink" Target="https://drive.google.com/drive/folders/1SUR_PavBFiQiWGCcQzsxH8anJ_8NDTRj?usp=drive_link" TargetMode="External"/><Relationship Id="rId18" Type="http://schemas.openxmlformats.org/officeDocument/2006/relationships/hyperlink" Target="https://drive.google.com/drive/folders/1PimhnLNPUwlycFXUk0VcmiOzQXYR2Q1a?usp=drive_link" TargetMode="External"/><Relationship Id="rId39" Type="http://schemas.openxmlformats.org/officeDocument/2006/relationships/hyperlink" Target="https://drive.google.com/drive/folders/13CtZgbUm5Q04omJ_zzHk800tcc61Kbs5?usp=drive_link" TargetMode="External"/><Relationship Id="rId34" Type="http://schemas.openxmlformats.org/officeDocument/2006/relationships/hyperlink" Target="https://drive.google.com/drive/folders/1__QUjQ6RCvE8IUZuedfi8D_1h8VlQUlH?usp=drive_link" TargetMode="External"/><Relationship Id="rId50" Type="http://schemas.openxmlformats.org/officeDocument/2006/relationships/hyperlink" Target="https://drive.google.com/drive/folders/1B0Men5rTrUZat3x6dGInxplVIjr6AOQi?usp=drive_link" TargetMode="External"/><Relationship Id="rId55" Type="http://schemas.openxmlformats.org/officeDocument/2006/relationships/hyperlink" Target="https://drive.google.com/drive/folders/1knVB3V2JdpAE-Z-R9IXZW03Rw65UdlwV?usp=drive_link" TargetMode="External"/><Relationship Id="rId76" Type="http://schemas.openxmlformats.org/officeDocument/2006/relationships/hyperlink" Target="https://drive.google.com/drive/folders/1pBqwqzciwwbIQKgDOSNAsKypR2cTG6y6?usp=drive_link" TargetMode="External"/><Relationship Id="rId7" Type="http://schemas.openxmlformats.org/officeDocument/2006/relationships/hyperlink" Target="https://drive.google.com/drive/folders/1B-pyuwWdRRuctEbQIABlgQX6IUofN5mB?usp=drive_link" TargetMode="External"/><Relationship Id="rId71" Type="http://schemas.openxmlformats.org/officeDocument/2006/relationships/hyperlink" Target="https://drive.google.com/drive/folders/1GTsLKGpl2DQ-tuU85w-3Kw4Xj7Cj84jA?usp=drive_link" TargetMode="External"/><Relationship Id="rId2" Type="http://schemas.openxmlformats.org/officeDocument/2006/relationships/hyperlink" Target="https://drive.google.com/drive/folders/1HoOZXZa6HchZl5rVFRaHYhVWrcp1nGyy?usp=drive_link" TargetMode="External"/><Relationship Id="rId29" Type="http://schemas.openxmlformats.org/officeDocument/2006/relationships/hyperlink" Target="https://drive.google.com/drive/folders/1NnUmn34uvgtNQ62hRqt7kLyDEcnVOa9j?usp=drive_link" TargetMode="External"/><Relationship Id="rId24" Type="http://schemas.openxmlformats.org/officeDocument/2006/relationships/hyperlink" Target="https://drive.google.com/drive/folders/1UZVJ8nVJT1yST9_PUsV5LJMZiNc8OMNB?usp=drive_link" TargetMode="External"/><Relationship Id="rId40" Type="http://schemas.openxmlformats.org/officeDocument/2006/relationships/hyperlink" Target="https://drive.google.com/drive/folders/1csfcc2k3ERr0KppmFl7fv-9EqwRK9LZG?usp=drive_link" TargetMode="External"/><Relationship Id="rId45" Type="http://schemas.openxmlformats.org/officeDocument/2006/relationships/hyperlink" Target="https://drive.google.com/drive/folders/12uM3Lty5jEL3WA1zNi9-X9zCkj0Ms8qU?usp=drive_link" TargetMode="External"/><Relationship Id="rId66" Type="http://schemas.openxmlformats.org/officeDocument/2006/relationships/hyperlink" Target="https://drive.google.com/drive/folders/1G7rax3bPRXlKaSvRSyFcSmL3fBWARBYC?usp=drive_link" TargetMode="External"/><Relationship Id="rId87" Type="http://schemas.openxmlformats.org/officeDocument/2006/relationships/hyperlink" Target="https://drive.google.com/drive/folders/1Tv8vUFUybdBmmB7KHTCxmHtXX_oFBUD8?usp=sharing" TargetMode="External"/><Relationship Id="rId61" Type="http://schemas.openxmlformats.org/officeDocument/2006/relationships/hyperlink" Target="https://drive.google.com/drive/folders/1UZuMsg5zdkKGOVJWABdvVlXAUiG7NtWz?usp=drive_link" TargetMode="External"/><Relationship Id="rId82" Type="http://schemas.openxmlformats.org/officeDocument/2006/relationships/hyperlink" Target="https://drive.google.com/drive/folders/16NZXLPWBylikIcmI0KrZJZnshEIJqMH7?usp=drive_link" TargetMode="External"/><Relationship Id="rId19" Type="http://schemas.openxmlformats.org/officeDocument/2006/relationships/hyperlink" Target="https://drive.google.com/drive/folders/1CdCh9XEBWqUqH9PT18dqQWYyk5sWn6_F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95"/>
  <sheetViews>
    <sheetView tabSelected="1" workbookViewId="0">
      <selection activeCell="C6" sqref="C6:G95"/>
    </sheetView>
  </sheetViews>
  <sheetFormatPr defaultColWidth="12.5703125" defaultRowHeight="15.75" customHeight="1"/>
  <cols>
    <col min="1" max="1" width="4.5703125" customWidth="1"/>
    <col min="2" max="2" width="30.42578125" customWidth="1"/>
    <col min="3" max="7" width="17.85546875" customWidth="1"/>
    <col min="8" max="8" width="7" customWidth="1"/>
    <col min="9" max="9" width="5.85546875" customWidth="1"/>
    <col min="10" max="10" width="9" customWidth="1"/>
    <col min="11" max="11" width="12.140625" customWidth="1"/>
    <col min="12" max="12" width="13.28515625" customWidth="1"/>
    <col min="13" max="27" width="17.85546875" customWidth="1"/>
  </cols>
  <sheetData>
    <row r="1" spans="1:27" ht="42.75" customHeight="1">
      <c r="A1" s="40" t="s">
        <v>0</v>
      </c>
      <c r="B1" s="41"/>
      <c r="C1" s="41"/>
      <c r="D1" s="41"/>
      <c r="E1" s="41"/>
      <c r="F1" s="41"/>
      <c r="G1" s="41"/>
      <c r="H1" s="4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39.75" customHeight="1">
      <c r="A2" s="2"/>
      <c r="B2" s="2"/>
      <c r="C2" s="2"/>
      <c r="D2" s="2"/>
      <c r="E2" s="2"/>
      <c r="F2" s="3" t="s">
        <v>1</v>
      </c>
      <c r="G2" s="42" t="s">
        <v>2</v>
      </c>
      <c r="H2" s="4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49.5">
      <c r="A3" s="43" t="s">
        <v>3</v>
      </c>
      <c r="B3" s="39"/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4" t="s">
        <v>9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6.5">
      <c r="A4" s="43" t="s">
        <v>10</v>
      </c>
      <c r="B4" s="39"/>
      <c r="C4" s="5">
        <v>0.2</v>
      </c>
      <c r="D4" s="5">
        <v>0.2</v>
      </c>
      <c r="E4" s="5">
        <v>0.2</v>
      </c>
      <c r="F4" s="5">
        <v>0.2</v>
      </c>
      <c r="G4" s="5">
        <v>0.2</v>
      </c>
      <c r="H4" s="45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42" customHeight="1">
      <c r="A5" s="6" t="s">
        <v>11</v>
      </c>
      <c r="B5" s="6" t="s">
        <v>12</v>
      </c>
      <c r="C5" s="34" t="s">
        <v>13</v>
      </c>
      <c r="D5" s="35"/>
      <c r="E5" s="35"/>
      <c r="F5" s="35"/>
      <c r="G5" s="35"/>
      <c r="H5" s="36"/>
      <c r="I5" s="1"/>
      <c r="J5" s="37" t="s">
        <v>14</v>
      </c>
      <c r="K5" s="38"/>
      <c r="L5" s="39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22.5" customHeight="1">
      <c r="A6" s="7">
        <v>1</v>
      </c>
      <c r="B6" s="8" t="s">
        <v>15</v>
      </c>
      <c r="C6" s="46">
        <v>13</v>
      </c>
      <c r="D6" s="46">
        <v>13</v>
      </c>
      <c r="E6" s="46">
        <v>14</v>
      </c>
      <c r="F6" s="46">
        <v>15</v>
      </c>
      <c r="G6" s="46">
        <v>14</v>
      </c>
      <c r="H6" s="10">
        <f t="shared" ref="H6:H95" si="0">C6+D6+E6+F6+G6</f>
        <v>69</v>
      </c>
      <c r="I6" s="1"/>
      <c r="J6" s="11" t="s">
        <v>16</v>
      </c>
      <c r="K6" s="11" t="s">
        <v>17</v>
      </c>
      <c r="L6" s="11" t="s">
        <v>11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22.5" customHeight="1">
      <c r="A7" s="12">
        <v>2</v>
      </c>
      <c r="B7" s="13" t="s">
        <v>18</v>
      </c>
      <c r="C7" s="46">
        <v>15</v>
      </c>
      <c r="D7" s="46">
        <v>14</v>
      </c>
      <c r="E7" s="46">
        <v>15</v>
      </c>
      <c r="F7" s="46">
        <v>15</v>
      </c>
      <c r="G7" s="46">
        <v>15</v>
      </c>
      <c r="H7" s="14">
        <f t="shared" si="0"/>
        <v>74</v>
      </c>
      <c r="I7" s="1"/>
      <c r="J7" s="9">
        <v>1</v>
      </c>
      <c r="K7" s="9">
        <f t="shared" ref="K7:K16" si="1">LARGE($H$6:$H$95, J7)</f>
        <v>92</v>
      </c>
      <c r="L7" s="15">
        <f ca="1">IFERROR(__xludf.DUMMYFUNCTION("INDEX(FILTER($A$6:$A$95,$H$6:$H$95=K7),COUNTIF($K$7:K995,K7))"),64)</f>
        <v>64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22.5" customHeight="1">
      <c r="A8" s="12">
        <v>3</v>
      </c>
      <c r="B8" s="13" t="s">
        <v>19</v>
      </c>
      <c r="C8" s="46">
        <v>17</v>
      </c>
      <c r="D8" s="46">
        <v>17</v>
      </c>
      <c r="E8" s="46">
        <v>17</v>
      </c>
      <c r="F8" s="46">
        <v>18</v>
      </c>
      <c r="G8" s="46">
        <v>16</v>
      </c>
      <c r="H8" s="14">
        <f t="shared" si="0"/>
        <v>85</v>
      </c>
      <c r="I8" s="1"/>
      <c r="J8" s="9">
        <v>2</v>
      </c>
      <c r="K8" s="9">
        <f t="shared" si="1"/>
        <v>92</v>
      </c>
      <c r="L8" s="15">
        <f ca="1">IFERROR(__xludf.DUMMYFUNCTION("INDEX(FILTER($A$6:$A$95,$H$6:$H$95=K8),COUNTIF($K$8:K995,K8))"),32)</f>
        <v>32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22.5" customHeight="1">
      <c r="A9" s="12">
        <v>4</v>
      </c>
      <c r="B9" s="13" t="s">
        <v>15</v>
      </c>
      <c r="C9" s="46">
        <v>18</v>
      </c>
      <c r="D9" s="46">
        <v>15</v>
      </c>
      <c r="E9" s="46">
        <v>16</v>
      </c>
      <c r="F9" s="46">
        <v>18</v>
      </c>
      <c r="G9" s="46">
        <v>17</v>
      </c>
      <c r="H9" s="14">
        <f t="shared" si="0"/>
        <v>84</v>
      </c>
      <c r="I9" s="1"/>
      <c r="J9" s="9">
        <v>3</v>
      </c>
      <c r="K9" s="9">
        <f t="shared" si="1"/>
        <v>92</v>
      </c>
      <c r="L9" s="15">
        <f ca="1">IFERROR(__xludf.DUMMYFUNCTION("INDEX(FILTER($A$6:$A$95,$H$6:$H$95=K9),COUNTIF($K$9:K995,K9))"),19)</f>
        <v>19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22.5" customHeight="1">
      <c r="A10" s="12">
        <v>5</v>
      </c>
      <c r="B10" s="13" t="s">
        <v>20</v>
      </c>
      <c r="C10" s="46">
        <v>18</v>
      </c>
      <c r="D10" s="46">
        <v>18</v>
      </c>
      <c r="E10" s="46">
        <v>17</v>
      </c>
      <c r="F10" s="46">
        <v>18</v>
      </c>
      <c r="G10" s="46">
        <v>14</v>
      </c>
      <c r="H10" s="14">
        <f t="shared" si="0"/>
        <v>85</v>
      </c>
      <c r="I10" s="1"/>
      <c r="J10" s="9">
        <v>4</v>
      </c>
      <c r="K10" s="9">
        <f t="shared" si="1"/>
        <v>90</v>
      </c>
      <c r="L10" s="15">
        <f ca="1">IFERROR(__xludf.DUMMYFUNCTION("INDEX(FILTER($A$6:$A$95,$H$6:$H$95=K10),COUNTIF($K$10:K995,K10))"),86)</f>
        <v>86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22.5" customHeight="1">
      <c r="A11" s="12">
        <v>6</v>
      </c>
      <c r="B11" s="13" t="s">
        <v>21</v>
      </c>
      <c r="C11" s="46">
        <v>18</v>
      </c>
      <c r="D11" s="46">
        <v>19</v>
      </c>
      <c r="E11" s="46">
        <v>18</v>
      </c>
      <c r="F11" s="46">
        <v>17</v>
      </c>
      <c r="G11" s="46">
        <v>16</v>
      </c>
      <c r="H11" s="14">
        <f t="shared" si="0"/>
        <v>88</v>
      </c>
      <c r="I11" s="1"/>
      <c r="J11" s="9">
        <v>5</v>
      </c>
      <c r="K11" s="9">
        <f t="shared" si="1"/>
        <v>90</v>
      </c>
      <c r="L11" s="15">
        <f ca="1">IFERROR(__xludf.DUMMYFUNCTION("INDEX(FILTER($A$6:$A$95,$H$6:$H$95=K11),COUNTIF($K$11:K995,K11))"),37)</f>
        <v>37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22.5" customHeight="1">
      <c r="A12" s="12">
        <v>7</v>
      </c>
      <c r="B12" s="13" t="s">
        <v>22</v>
      </c>
      <c r="C12" s="46">
        <v>17</v>
      </c>
      <c r="D12" s="46">
        <v>18</v>
      </c>
      <c r="E12" s="46">
        <v>15</v>
      </c>
      <c r="F12" s="46">
        <v>17</v>
      </c>
      <c r="G12" s="46">
        <v>15</v>
      </c>
      <c r="H12" s="14">
        <f t="shared" si="0"/>
        <v>82</v>
      </c>
      <c r="I12" s="1"/>
      <c r="J12" s="9">
        <v>6</v>
      </c>
      <c r="K12" s="9">
        <f t="shared" si="1"/>
        <v>90</v>
      </c>
      <c r="L12" s="15">
        <f ca="1">IFERROR(__xludf.DUMMYFUNCTION("INDEX(FILTER($A$6:$A$95,$H$6:$H$95=K12),COUNTIF($K$12:K995,K12))"),36)</f>
        <v>36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22.5" customHeight="1">
      <c r="A13" s="12">
        <v>8</v>
      </c>
      <c r="B13" s="13" t="s">
        <v>15</v>
      </c>
      <c r="C13" s="46">
        <v>17</v>
      </c>
      <c r="D13" s="46">
        <v>17</v>
      </c>
      <c r="E13" s="46">
        <v>16</v>
      </c>
      <c r="F13" s="46">
        <v>18</v>
      </c>
      <c r="G13" s="46">
        <v>15</v>
      </c>
      <c r="H13" s="14">
        <f t="shared" si="0"/>
        <v>83</v>
      </c>
      <c r="I13" s="1"/>
      <c r="J13" s="9">
        <v>7</v>
      </c>
      <c r="K13" s="9">
        <f t="shared" si="1"/>
        <v>90</v>
      </c>
      <c r="L13" s="15">
        <f ca="1">IFERROR(__xludf.DUMMYFUNCTION("INDEX(FILTER($A$6:$A$95,$H$6:$H$95=K13),COUNTIF($K$13:K995,K13))"),35)</f>
        <v>35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22.5" customHeight="1">
      <c r="A14" s="12">
        <v>9</v>
      </c>
      <c r="B14" s="13" t="s">
        <v>23</v>
      </c>
      <c r="C14" s="46">
        <v>17</v>
      </c>
      <c r="D14" s="46">
        <v>16</v>
      </c>
      <c r="E14" s="46">
        <v>17</v>
      </c>
      <c r="F14" s="46">
        <v>17</v>
      </c>
      <c r="G14" s="46">
        <v>17</v>
      </c>
      <c r="H14" s="14">
        <f t="shared" si="0"/>
        <v>84</v>
      </c>
      <c r="I14" s="1"/>
      <c r="J14" s="9">
        <v>8</v>
      </c>
      <c r="K14" s="9">
        <f t="shared" si="1"/>
        <v>90</v>
      </c>
      <c r="L14" s="15">
        <f ca="1">IFERROR(__xludf.DUMMYFUNCTION("INDEX(FILTER($A$6:$A$95,$H$6:$H$95=K14),COUNTIF($K$14:K995,K14))"),34)</f>
        <v>34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22.5" customHeight="1">
      <c r="A15" s="12">
        <v>10</v>
      </c>
      <c r="B15" s="13" t="s">
        <v>24</v>
      </c>
      <c r="C15" s="46">
        <v>18</v>
      </c>
      <c r="D15" s="46">
        <v>18</v>
      </c>
      <c r="E15" s="46">
        <v>18</v>
      </c>
      <c r="F15" s="46">
        <v>18</v>
      </c>
      <c r="G15" s="46">
        <v>16</v>
      </c>
      <c r="H15" s="14">
        <f t="shared" si="0"/>
        <v>88</v>
      </c>
      <c r="I15" s="1"/>
      <c r="J15" s="9">
        <v>9</v>
      </c>
      <c r="K15" s="9">
        <f t="shared" si="1"/>
        <v>89</v>
      </c>
      <c r="L15" s="15">
        <f ca="1">IFERROR(__xludf.DUMMYFUNCTION("INDEX(FILTER($A$6:$A$95,$H$6:$H$95=K15),COUNTIF($K$15:K995,K15))"),33)</f>
        <v>33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22.5" customHeight="1">
      <c r="A16" s="12">
        <v>11</v>
      </c>
      <c r="B16" s="13" t="s">
        <v>21</v>
      </c>
      <c r="C16" s="46">
        <v>17</v>
      </c>
      <c r="D16" s="46">
        <v>18</v>
      </c>
      <c r="E16" s="46">
        <v>18</v>
      </c>
      <c r="F16" s="46">
        <v>18</v>
      </c>
      <c r="G16" s="46">
        <v>18</v>
      </c>
      <c r="H16" s="14">
        <f t="shared" si="0"/>
        <v>89</v>
      </c>
      <c r="I16" s="1"/>
      <c r="J16" s="9">
        <v>10</v>
      </c>
      <c r="K16" s="9">
        <f t="shared" si="1"/>
        <v>88</v>
      </c>
      <c r="L16" s="15">
        <f ca="1">IFERROR(__xludf.DUMMYFUNCTION("INDEX(FILTER($A$6:$A$95,$H$6:$H$95=K16),COUNTIF($K$16:K995,K16))"),28)</f>
        <v>28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22.5" customHeight="1">
      <c r="A17" s="12">
        <v>12</v>
      </c>
      <c r="B17" s="13" t="s">
        <v>25</v>
      </c>
      <c r="C17" s="46">
        <v>16</v>
      </c>
      <c r="D17" s="46">
        <v>14</v>
      </c>
      <c r="E17" s="46">
        <v>15</v>
      </c>
      <c r="F17" s="46">
        <v>18</v>
      </c>
      <c r="G17" s="46">
        <v>17</v>
      </c>
      <c r="H17" s="14">
        <f t="shared" si="0"/>
        <v>80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22.5" customHeight="1">
      <c r="A18" s="12">
        <v>13</v>
      </c>
      <c r="B18" s="13" t="s">
        <v>26</v>
      </c>
      <c r="C18" s="46">
        <v>16</v>
      </c>
      <c r="D18" s="46">
        <v>18</v>
      </c>
      <c r="E18" s="46">
        <v>17</v>
      </c>
      <c r="F18" s="46">
        <v>17</v>
      </c>
      <c r="G18" s="46">
        <v>16</v>
      </c>
      <c r="H18" s="14">
        <f t="shared" si="0"/>
        <v>84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22.5" customHeight="1">
      <c r="A19" s="12">
        <v>14</v>
      </c>
      <c r="B19" s="13" t="s">
        <v>27</v>
      </c>
      <c r="C19" s="46">
        <v>15</v>
      </c>
      <c r="D19" s="46">
        <v>16</v>
      </c>
      <c r="E19" s="46">
        <v>18</v>
      </c>
      <c r="F19" s="46">
        <v>19</v>
      </c>
      <c r="G19" s="46">
        <v>17</v>
      </c>
      <c r="H19" s="14">
        <f t="shared" si="0"/>
        <v>85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22.5" customHeight="1">
      <c r="A20" s="12">
        <v>15</v>
      </c>
      <c r="B20" s="13" t="s">
        <v>28</v>
      </c>
      <c r="C20" s="46">
        <v>16</v>
      </c>
      <c r="D20" s="46">
        <v>16</v>
      </c>
      <c r="E20" s="46">
        <v>14</v>
      </c>
      <c r="F20" s="46">
        <v>16</v>
      </c>
      <c r="G20" s="46">
        <v>16</v>
      </c>
      <c r="H20" s="14">
        <f t="shared" si="0"/>
        <v>78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22.5" customHeight="1">
      <c r="A21" s="12">
        <v>16</v>
      </c>
      <c r="B21" s="16" t="s">
        <v>29</v>
      </c>
      <c r="C21" s="46">
        <v>12</v>
      </c>
      <c r="D21" s="46">
        <v>12</v>
      </c>
      <c r="E21" s="46">
        <v>14</v>
      </c>
      <c r="F21" s="46">
        <v>15</v>
      </c>
      <c r="G21" s="46">
        <v>16</v>
      </c>
      <c r="H21" s="14">
        <f t="shared" si="0"/>
        <v>69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22.5" customHeight="1">
      <c r="A22" s="12">
        <v>17</v>
      </c>
      <c r="B22" s="16" t="s">
        <v>30</v>
      </c>
      <c r="C22" s="46">
        <v>13</v>
      </c>
      <c r="D22" s="46">
        <v>15</v>
      </c>
      <c r="E22" s="46">
        <v>14</v>
      </c>
      <c r="F22" s="46">
        <v>16</v>
      </c>
      <c r="G22" s="46">
        <v>14</v>
      </c>
      <c r="H22" s="14">
        <f t="shared" si="0"/>
        <v>72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22.5" customHeight="1">
      <c r="A23" s="12">
        <v>18</v>
      </c>
      <c r="B23" s="16" t="s">
        <v>31</v>
      </c>
      <c r="C23" s="46">
        <v>17</v>
      </c>
      <c r="D23" s="46">
        <v>19</v>
      </c>
      <c r="E23" s="46">
        <v>16</v>
      </c>
      <c r="F23" s="46">
        <v>18</v>
      </c>
      <c r="G23" s="46">
        <v>18</v>
      </c>
      <c r="H23" s="14">
        <f t="shared" si="0"/>
        <v>88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22.5" customHeight="1">
      <c r="A24" s="12">
        <v>19</v>
      </c>
      <c r="B24" s="16" t="s">
        <v>32</v>
      </c>
      <c r="C24" s="46">
        <v>17</v>
      </c>
      <c r="D24" s="46">
        <v>18</v>
      </c>
      <c r="E24" s="46">
        <v>15</v>
      </c>
      <c r="F24" s="46">
        <v>17</v>
      </c>
      <c r="G24" s="46">
        <v>17</v>
      </c>
      <c r="H24" s="14">
        <f t="shared" si="0"/>
        <v>84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22.5" customHeight="1">
      <c r="A25" s="12">
        <v>20</v>
      </c>
      <c r="B25" s="16" t="s">
        <v>33</v>
      </c>
      <c r="C25" s="46">
        <v>10</v>
      </c>
      <c r="D25" s="46">
        <v>10</v>
      </c>
      <c r="E25" s="46">
        <v>12</v>
      </c>
      <c r="F25" s="46">
        <v>14</v>
      </c>
      <c r="G25" s="46">
        <v>14</v>
      </c>
      <c r="H25" s="14">
        <f t="shared" si="0"/>
        <v>60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22.5" customHeight="1">
      <c r="A26" s="12">
        <v>21</v>
      </c>
      <c r="B26" s="16" t="s">
        <v>34</v>
      </c>
      <c r="C26" s="46">
        <v>10</v>
      </c>
      <c r="D26" s="46">
        <v>12</v>
      </c>
      <c r="E26" s="46">
        <v>12</v>
      </c>
      <c r="F26" s="46">
        <v>12</v>
      </c>
      <c r="G26" s="46">
        <v>14</v>
      </c>
      <c r="H26" s="14">
        <f t="shared" si="0"/>
        <v>60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22.5" customHeight="1">
      <c r="A27" s="12">
        <v>22</v>
      </c>
      <c r="B27" s="16" t="s">
        <v>35</v>
      </c>
      <c r="C27" s="46">
        <v>13</v>
      </c>
      <c r="D27" s="46">
        <v>14</v>
      </c>
      <c r="E27" s="46">
        <v>13</v>
      </c>
      <c r="F27" s="46">
        <v>13</v>
      </c>
      <c r="G27" s="46">
        <v>14</v>
      </c>
      <c r="H27" s="14">
        <f t="shared" si="0"/>
        <v>67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22.5" customHeight="1">
      <c r="A28" s="12">
        <v>23</v>
      </c>
      <c r="B28" s="16" t="s">
        <v>35</v>
      </c>
      <c r="C28" s="46">
        <v>14</v>
      </c>
      <c r="D28" s="46">
        <v>13</v>
      </c>
      <c r="E28" s="46">
        <v>12</v>
      </c>
      <c r="F28" s="46">
        <v>14</v>
      </c>
      <c r="G28" s="46">
        <v>14</v>
      </c>
      <c r="H28" s="14">
        <f t="shared" si="0"/>
        <v>67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22.5" customHeight="1">
      <c r="A29" s="12">
        <v>24</v>
      </c>
      <c r="B29" s="16" t="s">
        <v>36</v>
      </c>
      <c r="C29" s="46">
        <v>18</v>
      </c>
      <c r="D29" s="46">
        <v>18</v>
      </c>
      <c r="E29" s="46">
        <v>17</v>
      </c>
      <c r="F29" s="46">
        <v>17</v>
      </c>
      <c r="G29" s="46">
        <v>17</v>
      </c>
      <c r="H29" s="14">
        <f t="shared" si="0"/>
        <v>87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22.5" customHeight="1">
      <c r="A30" s="12">
        <v>25</v>
      </c>
      <c r="B30" s="16" t="s">
        <v>37</v>
      </c>
      <c r="C30" s="46">
        <v>12</v>
      </c>
      <c r="D30" s="46">
        <v>12</v>
      </c>
      <c r="E30" s="46">
        <v>13</v>
      </c>
      <c r="F30" s="46">
        <v>13</v>
      </c>
      <c r="G30" s="46">
        <v>14</v>
      </c>
      <c r="H30" s="14">
        <f t="shared" si="0"/>
        <v>64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22.5" customHeight="1">
      <c r="A31" s="12">
        <v>26</v>
      </c>
      <c r="B31" s="16" t="s">
        <v>38</v>
      </c>
      <c r="C31" s="46">
        <v>17</v>
      </c>
      <c r="D31" s="46">
        <v>18</v>
      </c>
      <c r="E31" s="46">
        <v>15</v>
      </c>
      <c r="F31" s="46">
        <v>15</v>
      </c>
      <c r="G31" s="46">
        <v>16</v>
      </c>
      <c r="H31" s="14">
        <f t="shared" si="0"/>
        <v>81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22.5" customHeight="1">
      <c r="A32" s="12">
        <v>27</v>
      </c>
      <c r="B32" s="16" t="s">
        <v>39</v>
      </c>
      <c r="C32" s="46">
        <v>17</v>
      </c>
      <c r="D32" s="46">
        <v>17</v>
      </c>
      <c r="E32" s="46">
        <v>17</v>
      </c>
      <c r="F32" s="46">
        <v>15</v>
      </c>
      <c r="G32" s="46">
        <v>18</v>
      </c>
      <c r="H32" s="14">
        <f t="shared" si="0"/>
        <v>84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22.5" customHeight="1">
      <c r="A33" s="17">
        <v>28</v>
      </c>
      <c r="B33" s="18" t="s">
        <v>37</v>
      </c>
      <c r="C33" s="46">
        <v>15</v>
      </c>
      <c r="D33" s="46">
        <v>14</v>
      </c>
      <c r="E33" s="46">
        <v>14</v>
      </c>
      <c r="F33" s="46">
        <v>15</v>
      </c>
      <c r="G33" s="46">
        <v>16</v>
      </c>
      <c r="H33" s="19">
        <f t="shared" si="0"/>
        <v>74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22.5" customHeight="1">
      <c r="A34" s="7">
        <v>29</v>
      </c>
      <c r="B34" s="8" t="s">
        <v>40</v>
      </c>
      <c r="C34" s="46">
        <v>18</v>
      </c>
      <c r="D34" s="46">
        <v>17</v>
      </c>
      <c r="E34" s="46">
        <v>16</v>
      </c>
      <c r="F34" s="46">
        <v>16</v>
      </c>
      <c r="G34" s="46">
        <v>16</v>
      </c>
      <c r="H34" s="10">
        <f t="shared" si="0"/>
        <v>83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22.5" customHeight="1">
      <c r="A35" s="12">
        <v>30</v>
      </c>
      <c r="B35" s="13" t="s">
        <v>41</v>
      </c>
      <c r="C35" s="46">
        <v>18</v>
      </c>
      <c r="D35" s="46">
        <v>16</v>
      </c>
      <c r="E35" s="46">
        <v>16</v>
      </c>
      <c r="F35" s="46">
        <v>17</v>
      </c>
      <c r="G35" s="46">
        <v>18</v>
      </c>
      <c r="H35" s="14">
        <f t="shared" si="0"/>
        <v>85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22.5" customHeight="1">
      <c r="A36" s="12">
        <v>31</v>
      </c>
      <c r="B36" s="13" t="s">
        <v>42</v>
      </c>
      <c r="C36" s="46">
        <v>19</v>
      </c>
      <c r="D36" s="46">
        <v>18</v>
      </c>
      <c r="E36" s="46">
        <v>18</v>
      </c>
      <c r="F36" s="46">
        <v>19</v>
      </c>
      <c r="G36" s="46">
        <v>18</v>
      </c>
      <c r="H36" s="14">
        <f t="shared" si="0"/>
        <v>92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22.5" customHeight="1">
      <c r="A37" s="12">
        <v>32</v>
      </c>
      <c r="B37" s="13" t="s">
        <v>43</v>
      </c>
      <c r="C37" s="46">
        <v>19</v>
      </c>
      <c r="D37" s="46">
        <v>17</v>
      </c>
      <c r="E37" s="46">
        <v>18</v>
      </c>
      <c r="F37" s="46">
        <v>18</v>
      </c>
      <c r="G37" s="46">
        <v>18</v>
      </c>
      <c r="H37" s="14">
        <f t="shared" si="0"/>
        <v>90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22.5" customHeight="1">
      <c r="A38" s="12">
        <v>33</v>
      </c>
      <c r="B38" s="13" t="s">
        <v>41</v>
      </c>
      <c r="C38" s="46">
        <v>19</v>
      </c>
      <c r="D38" s="46">
        <v>17</v>
      </c>
      <c r="E38" s="46">
        <v>18</v>
      </c>
      <c r="F38" s="46">
        <v>18</v>
      </c>
      <c r="G38" s="46">
        <v>18</v>
      </c>
      <c r="H38" s="14">
        <f t="shared" si="0"/>
        <v>90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22.5" customHeight="1">
      <c r="A39" s="12">
        <v>34</v>
      </c>
      <c r="B39" s="13" t="s">
        <v>41</v>
      </c>
      <c r="C39" s="46">
        <v>19</v>
      </c>
      <c r="D39" s="46">
        <v>17</v>
      </c>
      <c r="E39" s="46">
        <v>18</v>
      </c>
      <c r="F39" s="46">
        <v>18</v>
      </c>
      <c r="G39" s="46">
        <v>18</v>
      </c>
      <c r="H39" s="14">
        <f t="shared" si="0"/>
        <v>90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22.5" customHeight="1">
      <c r="A40" s="12">
        <v>35</v>
      </c>
      <c r="B40" s="13" t="s">
        <v>43</v>
      </c>
      <c r="C40" s="46">
        <v>19</v>
      </c>
      <c r="D40" s="46">
        <v>16</v>
      </c>
      <c r="E40" s="46">
        <v>19</v>
      </c>
      <c r="F40" s="46">
        <v>18</v>
      </c>
      <c r="G40" s="46">
        <v>18</v>
      </c>
      <c r="H40" s="14">
        <f t="shared" si="0"/>
        <v>90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22.5" customHeight="1">
      <c r="A41" s="12">
        <v>36</v>
      </c>
      <c r="B41" s="13" t="s">
        <v>43</v>
      </c>
      <c r="C41" s="46">
        <v>19</v>
      </c>
      <c r="D41" s="46">
        <v>17</v>
      </c>
      <c r="E41" s="46">
        <v>18</v>
      </c>
      <c r="F41" s="46">
        <v>18</v>
      </c>
      <c r="G41" s="46">
        <v>18</v>
      </c>
      <c r="H41" s="14">
        <f t="shared" si="0"/>
        <v>90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22.5" customHeight="1">
      <c r="A42" s="12">
        <v>37</v>
      </c>
      <c r="B42" s="13" t="s">
        <v>44</v>
      </c>
      <c r="C42" s="46">
        <v>16</v>
      </c>
      <c r="D42" s="46">
        <v>12</v>
      </c>
      <c r="E42" s="46">
        <v>16</v>
      </c>
      <c r="F42" s="46">
        <v>14</v>
      </c>
      <c r="G42" s="46">
        <v>16</v>
      </c>
      <c r="H42" s="14">
        <f t="shared" si="0"/>
        <v>74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22.5" customHeight="1">
      <c r="A43" s="12">
        <v>38</v>
      </c>
      <c r="B43" s="13" t="s">
        <v>45</v>
      </c>
      <c r="C43" s="46">
        <v>18</v>
      </c>
      <c r="D43" s="46">
        <v>17</v>
      </c>
      <c r="E43" s="46">
        <v>16</v>
      </c>
      <c r="F43" s="46">
        <v>18</v>
      </c>
      <c r="G43" s="46">
        <v>16</v>
      </c>
      <c r="H43" s="14">
        <f t="shared" si="0"/>
        <v>85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22.5" customHeight="1">
      <c r="A44" s="12">
        <v>39</v>
      </c>
      <c r="B44" s="13" t="s">
        <v>46</v>
      </c>
      <c r="C44" s="46">
        <v>14</v>
      </c>
      <c r="D44" s="46">
        <v>16</v>
      </c>
      <c r="E44" s="46">
        <v>16</v>
      </c>
      <c r="F44" s="46">
        <v>16</v>
      </c>
      <c r="G44" s="46">
        <v>16</v>
      </c>
      <c r="H44" s="14">
        <f t="shared" si="0"/>
        <v>78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22.5" customHeight="1">
      <c r="A45" s="12">
        <v>40</v>
      </c>
      <c r="B45" s="13" t="s">
        <v>47</v>
      </c>
      <c r="C45" s="46">
        <v>14</v>
      </c>
      <c r="D45" s="46">
        <v>14</v>
      </c>
      <c r="E45" s="46">
        <v>14</v>
      </c>
      <c r="F45" s="46">
        <v>15</v>
      </c>
      <c r="G45" s="46">
        <v>16</v>
      </c>
      <c r="H45" s="14">
        <f t="shared" si="0"/>
        <v>73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22.5" customHeight="1">
      <c r="A46" s="12">
        <v>41</v>
      </c>
      <c r="B46" s="13" t="s">
        <v>47</v>
      </c>
      <c r="C46" s="46">
        <v>15</v>
      </c>
      <c r="D46" s="46">
        <v>14</v>
      </c>
      <c r="E46" s="46">
        <v>13</v>
      </c>
      <c r="F46" s="46">
        <v>14</v>
      </c>
      <c r="G46" s="46">
        <v>14</v>
      </c>
      <c r="H46" s="14">
        <f t="shared" si="0"/>
        <v>70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22.5" customHeight="1">
      <c r="A47" s="12">
        <v>42</v>
      </c>
      <c r="B47" s="13" t="s">
        <v>48</v>
      </c>
      <c r="C47" s="46">
        <v>14</v>
      </c>
      <c r="D47" s="46">
        <v>15</v>
      </c>
      <c r="E47" s="46">
        <v>15</v>
      </c>
      <c r="F47" s="46">
        <v>14</v>
      </c>
      <c r="G47" s="46">
        <v>14</v>
      </c>
      <c r="H47" s="14">
        <f t="shared" si="0"/>
        <v>72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22.5" customHeight="1">
      <c r="A48" s="12">
        <v>43</v>
      </c>
      <c r="B48" s="16" t="s">
        <v>49</v>
      </c>
      <c r="C48" s="46">
        <v>14</v>
      </c>
      <c r="D48" s="46">
        <v>10</v>
      </c>
      <c r="E48" s="46">
        <v>0</v>
      </c>
      <c r="F48" s="46">
        <v>10</v>
      </c>
      <c r="G48" s="46">
        <v>14</v>
      </c>
      <c r="H48" s="14">
        <f t="shared" si="0"/>
        <v>48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22.5" customHeight="1">
      <c r="A49" s="12">
        <v>44</v>
      </c>
      <c r="B49" s="13" t="s">
        <v>50</v>
      </c>
      <c r="C49" s="46">
        <v>12</v>
      </c>
      <c r="D49" s="46">
        <v>12</v>
      </c>
      <c r="E49" s="46">
        <v>13</v>
      </c>
      <c r="F49" s="46">
        <v>15</v>
      </c>
      <c r="G49" s="46">
        <v>14</v>
      </c>
      <c r="H49" s="14">
        <f t="shared" si="0"/>
        <v>66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22.5" customHeight="1">
      <c r="A50" s="12">
        <v>45</v>
      </c>
      <c r="B50" s="13" t="s">
        <v>51</v>
      </c>
      <c r="C50" s="46">
        <v>15</v>
      </c>
      <c r="D50" s="46">
        <v>15</v>
      </c>
      <c r="E50" s="46">
        <v>15</v>
      </c>
      <c r="F50" s="46">
        <v>17</v>
      </c>
      <c r="G50" s="46">
        <v>14</v>
      </c>
      <c r="H50" s="14">
        <f t="shared" si="0"/>
        <v>76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22.5" customHeight="1">
      <c r="A51" s="12">
        <v>46</v>
      </c>
      <c r="B51" s="16" t="s">
        <v>52</v>
      </c>
      <c r="C51" s="46">
        <v>12</v>
      </c>
      <c r="D51" s="46">
        <v>14</v>
      </c>
      <c r="E51" s="46">
        <v>14</v>
      </c>
      <c r="F51" s="46">
        <v>16</v>
      </c>
      <c r="G51" s="46">
        <v>14</v>
      </c>
      <c r="H51" s="14">
        <f t="shared" si="0"/>
        <v>70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22.5" customHeight="1">
      <c r="A52" s="12">
        <v>47</v>
      </c>
      <c r="B52" s="16" t="s">
        <v>52</v>
      </c>
      <c r="C52" s="46">
        <v>12</v>
      </c>
      <c r="D52" s="46">
        <v>13</v>
      </c>
      <c r="E52" s="46">
        <v>15</v>
      </c>
      <c r="F52" s="46">
        <v>16</v>
      </c>
      <c r="G52" s="46">
        <v>14</v>
      </c>
      <c r="H52" s="14">
        <f t="shared" si="0"/>
        <v>70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22.5" customHeight="1">
      <c r="A53" s="12">
        <v>48</v>
      </c>
      <c r="B53" s="13" t="s">
        <v>53</v>
      </c>
      <c r="C53" s="46">
        <v>17</v>
      </c>
      <c r="D53" s="46">
        <v>15</v>
      </c>
      <c r="E53" s="46">
        <v>14</v>
      </c>
      <c r="F53" s="46">
        <v>16</v>
      </c>
      <c r="G53" s="46">
        <v>14</v>
      </c>
      <c r="H53" s="14">
        <f t="shared" si="0"/>
        <v>76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22.5" customHeight="1">
      <c r="A54" s="12">
        <v>49</v>
      </c>
      <c r="B54" s="13" t="s">
        <v>54</v>
      </c>
      <c r="C54" s="46">
        <v>17</v>
      </c>
      <c r="D54" s="46">
        <v>15</v>
      </c>
      <c r="E54" s="46">
        <v>0</v>
      </c>
      <c r="F54" s="46">
        <v>10</v>
      </c>
      <c r="G54" s="46">
        <v>14</v>
      </c>
      <c r="H54" s="14">
        <f t="shared" si="0"/>
        <v>56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22.5" customHeight="1">
      <c r="A55" s="12">
        <v>50</v>
      </c>
      <c r="B55" s="13" t="s">
        <v>47</v>
      </c>
      <c r="C55" s="46">
        <v>18</v>
      </c>
      <c r="D55" s="46">
        <v>17</v>
      </c>
      <c r="E55" s="46">
        <v>17</v>
      </c>
      <c r="F55" s="46">
        <v>18</v>
      </c>
      <c r="G55" s="46">
        <v>16</v>
      </c>
      <c r="H55" s="14">
        <f t="shared" si="0"/>
        <v>86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22.5" customHeight="1">
      <c r="A56" s="12">
        <v>51</v>
      </c>
      <c r="B56" s="13" t="s">
        <v>55</v>
      </c>
      <c r="C56" s="46">
        <v>19</v>
      </c>
      <c r="D56" s="46">
        <v>17</v>
      </c>
      <c r="E56" s="46">
        <v>19</v>
      </c>
      <c r="F56" s="46">
        <v>19</v>
      </c>
      <c r="G56" s="46">
        <v>18</v>
      </c>
      <c r="H56" s="14">
        <f t="shared" si="0"/>
        <v>92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22.5" customHeight="1">
      <c r="A57" s="12">
        <v>52</v>
      </c>
      <c r="B57" s="13" t="s">
        <v>56</v>
      </c>
      <c r="C57" s="46">
        <v>17</v>
      </c>
      <c r="D57" s="46">
        <v>17</v>
      </c>
      <c r="E57" s="46">
        <v>15</v>
      </c>
      <c r="F57" s="46">
        <v>15</v>
      </c>
      <c r="G57" s="46">
        <v>16</v>
      </c>
      <c r="H57" s="14">
        <f t="shared" si="0"/>
        <v>80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22.5" customHeight="1">
      <c r="A58" s="12">
        <v>53</v>
      </c>
      <c r="B58" s="13" t="s">
        <v>57</v>
      </c>
      <c r="C58" s="46">
        <v>17</v>
      </c>
      <c r="D58" s="46">
        <v>15</v>
      </c>
      <c r="E58" s="46">
        <v>17</v>
      </c>
      <c r="F58" s="46">
        <v>14</v>
      </c>
      <c r="G58" s="46">
        <v>14</v>
      </c>
      <c r="H58" s="14">
        <f t="shared" si="0"/>
        <v>77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22.5" customHeight="1">
      <c r="A59" s="12">
        <v>54</v>
      </c>
      <c r="B59" s="13" t="s">
        <v>58</v>
      </c>
      <c r="C59" s="46">
        <v>15</v>
      </c>
      <c r="D59" s="46">
        <v>14</v>
      </c>
      <c r="E59" s="46">
        <v>16</v>
      </c>
      <c r="F59" s="46">
        <v>16</v>
      </c>
      <c r="G59" s="46">
        <v>16</v>
      </c>
      <c r="H59" s="14">
        <f t="shared" si="0"/>
        <v>77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22.5" customHeight="1">
      <c r="A60" s="12">
        <v>55</v>
      </c>
      <c r="B60" s="13" t="s">
        <v>59</v>
      </c>
      <c r="C60" s="46">
        <v>18</v>
      </c>
      <c r="D60" s="46">
        <v>18</v>
      </c>
      <c r="E60" s="46">
        <v>17</v>
      </c>
      <c r="F60" s="46">
        <v>17</v>
      </c>
      <c r="G60" s="46">
        <v>16</v>
      </c>
      <c r="H60" s="14">
        <f t="shared" si="0"/>
        <v>86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22.5" customHeight="1">
      <c r="A61" s="12">
        <v>56</v>
      </c>
      <c r="B61" s="13" t="s">
        <v>57</v>
      </c>
      <c r="C61" s="46">
        <v>18</v>
      </c>
      <c r="D61" s="46">
        <v>17</v>
      </c>
      <c r="E61" s="46">
        <v>18</v>
      </c>
      <c r="F61" s="46">
        <v>17</v>
      </c>
      <c r="G61" s="46">
        <v>16</v>
      </c>
      <c r="H61" s="14">
        <f t="shared" si="0"/>
        <v>86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22.5" customHeight="1">
      <c r="A62" s="12">
        <v>57</v>
      </c>
      <c r="B62" s="13" t="s">
        <v>60</v>
      </c>
      <c r="C62" s="46">
        <v>18</v>
      </c>
      <c r="D62" s="46">
        <v>18</v>
      </c>
      <c r="E62" s="46">
        <v>17</v>
      </c>
      <c r="F62" s="46">
        <v>18</v>
      </c>
      <c r="G62" s="46">
        <v>16</v>
      </c>
      <c r="H62" s="14">
        <f t="shared" si="0"/>
        <v>87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22.5" customHeight="1">
      <c r="A63" s="12">
        <v>58</v>
      </c>
      <c r="B63" s="13" t="s">
        <v>61</v>
      </c>
      <c r="C63" s="46">
        <v>17</v>
      </c>
      <c r="D63" s="46">
        <v>16</v>
      </c>
      <c r="E63" s="46">
        <v>16</v>
      </c>
      <c r="F63" s="46">
        <v>15</v>
      </c>
      <c r="G63" s="46">
        <v>14</v>
      </c>
      <c r="H63" s="14">
        <f t="shared" si="0"/>
        <v>78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22.5" customHeight="1">
      <c r="A64" s="12">
        <v>59</v>
      </c>
      <c r="B64" s="13" t="s">
        <v>62</v>
      </c>
      <c r="C64" s="46">
        <v>13</v>
      </c>
      <c r="D64" s="46">
        <v>12</v>
      </c>
      <c r="E64" s="46">
        <v>16</v>
      </c>
      <c r="F64" s="46">
        <v>12</v>
      </c>
      <c r="G64" s="46">
        <v>12</v>
      </c>
      <c r="H64" s="14">
        <f t="shared" si="0"/>
        <v>65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22.5" customHeight="1">
      <c r="A65" s="12">
        <v>60</v>
      </c>
      <c r="B65" s="13" t="s">
        <v>63</v>
      </c>
      <c r="C65" s="46">
        <v>18</v>
      </c>
      <c r="D65" s="46">
        <v>16</v>
      </c>
      <c r="E65" s="46">
        <v>18</v>
      </c>
      <c r="F65" s="46">
        <v>18</v>
      </c>
      <c r="G65" s="46">
        <v>18</v>
      </c>
      <c r="H65" s="14">
        <f t="shared" si="0"/>
        <v>88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22.5" customHeight="1">
      <c r="A66" s="12">
        <v>61</v>
      </c>
      <c r="B66" s="13" t="s">
        <v>64</v>
      </c>
      <c r="C66" s="46">
        <v>17</v>
      </c>
      <c r="D66" s="46">
        <v>17</v>
      </c>
      <c r="E66" s="46">
        <v>15</v>
      </c>
      <c r="F66" s="46">
        <v>17</v>
      </c>
      <c r="G66" s="46">
        <v>18</v>
      </c>
      <c r="H66" s="14">
        <f t="shared" si="0"/>
        <v>84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22.5" customHeight="1">
      <c r="A67" s="12">
        <v>62</v>
      </c>
      <c r="B67" s="13" t="s">
        <v>65</v>
      </c>
      <c r="C67" s="46">
        <v>18</v>
      </c>
      <c r="D67" s="46">
        <v>18</v>
      </c>
      <c r="E67" s="46">
        <v>17</v>
      </c>
      <c r="F67" s="46">
        <v>17</v>
      </c>
      <c r="G67" s="46">
        <v>16</v>
      </c>
      <c r="H67" s="14">
        <f t="shared" si="0"/>
        <v>86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22.5" customHeight="1">
      <c r="A68" s="12">
        <v>63</v>
      </c>
      <c r="B68" s="13" t="s">
        <v>66</v>
      </c>
      <c r="C68" s="46">
        <v>19</v>
      </c>
      <c r="D68" s="46">
        <v>19</v>
      </c>
      <c r="E68" s="46">
        <v>18</v>
      </c>
      <c r="F68" s="46">
        <v>18</v>
      </c>
      <c r="G68" s="46">
        <v>18</v>
      </c>
      <c r="H68" s="14">
        <f t="shared" si="0"/>
        <v>92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22.5" customHeight="1">
      <c r="A69" s="12">
        <v>64</v>
      </c>
      <c r="B69" s="13" t="s">
        <v>67</v>
      </c>
      <c r="C69" s="46">
        <v>18</v>
      </c>
      <c r="D69" s="46">
        <v>16</v>
      </c>
      <c r="E69" s="46">
        <v>18</v>
      </c>
      <c r="F69" s="46">
        <v>18</v>
      </c>
      <c r="G69" s="46">
        <v>18</v>
      </c>
      <c r="H69" s="14">
        <f t="shared" si="0"/>
        <v>88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22.5" customHeight="1">
      <c r="A70" s="12">
        <v>65</v>
      </c>
      <c r="B70" s="13" t="s">
        <v>57</v>
      </c>
      <c r="C70" s="46">
        <v>18</v>
      </c>
      <c r="D70" s="46">
        <v>18</v>
      </c>
      <c r="E70" s="46">
        <v>18</v>
      </c>
      <c r="F70" s="46">
        <v>17</v>
      </c>
      <c r="G70" s="46">
        <v>16</v>
      </c>
      <c r="H70" s="14">
        <f t="shared" si="0"/>
        <v>87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22.5" customHeight="1">
      <c r="A71" s="12">
        <v>66</v>
      </c>
      <c r="B71" s="13" t="s">
        <v>68</v>
      </c>
      <c r="C71" s="46">
        <v>16</v>
      </c>
      <c r="D71" s="46">
        <v>14</v>
      </c>
      <c r="E71" s="46">
        <v>14</v>
      </c>
      <c r="F71" s="46">
        <v>14</v>
      </c>
      <c r="G71" s="46">
        <v>14</v>
      </c>
      <c r="H71" s="14">
        <f t="shared" si="0"/>
        <v>72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22.5" customHeight="1">
      <c r="A72" s="12">
        <v>67</v>
      </c>
      <c r="B72" s="13" t="s">
        <v>69</v>
      </c>
      <c r="C72" s="46">
        <v>16</v>
      </c>
      <c r="D72" s="46">
        <v>16</v>
      </c>
      <c r="E72" s="46">
        <v>17</v>
      </c>
      <c r="F72" s="46">
        <v>16</v>
      </c>
      <c r="G72" s="46">
        <v>16</v>
      </c>
      <c r="H72" s="14">
        <f t="shared" si="0"/>
        <v>81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22.5" customHeight="1">
      <c r="A73" s="12">
        <v>68</v>
      </c>
      <c r="B73" s="13" t="s">
        <v>70</v>
      </c>
      <c r="C73" s="46">
        <v>16</v>
      </c>
      <c r="D73" s="46">
        <v>14</v>
      </c>
      <c r="E73" s="46">
        <v>13</v>
      </c>
      <c r="F73" s="46">
        <v>16</v>
      </c>
      <c r="G73" s="46">
        <v>16</v>
      </c>
      <c r="H73" s="14">
        <f t="shared" si="0"/>
        <v>75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22.5" customHeight="1">
      <c r="A74" s="12">
        <v>69</v>
      </c>
      <c r="B74" s="13" t="s">
        <v>71</v>
      </c>
      <c r="C74" s="46">
        <v>16</v>
      </c>
      <c r="D74" s="46">
        <v>14</v>
      </c>
      <c r="E74" s="46">
        <v>14</v>
      </c>
      <c r="F74" s="46">
        <v>16</v>
      </c>
      <c r="G74" s="46">
        <v>14</v>
      </c>
      <c r="H74" s="14">
        <f t="shared" si="0"/>
        <v>74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22.5" customHeight="1">
      <c r="A75" s="12">
        <v>70</v>
      </c>
      <c r="B75" s="16" t="s">
        <v>72</v>
      </c>
      <c r="C75" s="46">
        <v>18</v>
      </c>
      <c r="D75" s="46">
        <v>18</v>
      </c>
      <c r="E75" s="46">
        <v>18</v>
      </c>
      <c r="F75" s="46">
        <v>18</v>
      </c>
      <c r="G75" s="46">
        <v>16</v>
      </c>
      <c r="H75" s="14">
        <f t="shared" si="0"/>
        <v>88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22.5" customHeight="1">
      <c r="A76" s="12">
        <v>71</v>
      </c>
      <c r="B76" s="16" t="s">
        <v>73</v>
      </c>
      <c r="C76" s="46">
        <v>14</v>
      </c>
      <c r="D76" s="46">
        <v>15</v>
      </c>
      <c r="E76" s="46">
        <v>16</v>
      </c>
      <c r="F76" s="46">
        <v>16</v>
      </c>
      <c r="G76" s="46">
        <v>16</v>
      </c>
      <c r="H76" s="14">
        <f t="shared" si="0"/>
        <v>77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22.5" customHeight="1">
      <c r="A77" s="12">
        <v>72</v>
      </c>
      <c r="B77" s="16" t="s">
        <v>74</v>
      </c>
      <c r="C77" s="46">
        <v>15</v>
      </c>
      <c r="D77" s="46">
        <v>15</v>
      </c>
      <c r="E77" s="46">
        <v>14</v>
      </c>
      <c r="F77" s="46">
        <v>15</v>
      </c>
      <c r="G77" s="46">
        <v>14</v>
      </c>
      <c r="H77" s="14">
        <f t="shared" si="0"/>
        <v>73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22.5" customHeight="1">
      <c r="A78" s="12">
        <v>73</v>
      </c>
      <c r="B78" s="16" t="s">
        <v>47</v>
      </c>
      <c r="C78" s="46">
        <v>17</v>
      </c>
      <c r="D78" s="46">
        <v>15</v>
      </c>
      <c r="E78" s="46">
        <v>16</v>
      </c>
      <c r="F78" s="46">
        <v>15</v>
      </c>
      <c r="G78" s="46">
        <v>14</v>
      </c>
      <c r="H78" s="14">
        <f t="shared" si="0"/>
        <v>77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22.5" customHeight="1">
      <c r="A79" s="12">
        <v>74</v>
      </c>
      <c r="B79" s="16" t="s">
        <v>47</v>
      </c>
      <c r="C79" s="46">
        <v>16</v>
      </c>
      <c r="D79" s="46">
        <v>14</v>
      </c>
      <c r="E79" s="46">
        <v>14</v>
      </c>
      <c r="F79" s="46">
        <v>16</v>
      </c>
      <c r="G79" s="46">
        <v>14</v>
      </c>
      <c r="H79" s="14">
        <f t="shared" si="0"/>
        <v>74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22.5" customHeight="1">
      <c r="A80" s="12">
        <v>75</v>
      </c>
      <c r="B80" s="16" t="s">
        <v>75</v>
      </c>
      <c r="C80" s="46">
        <v>14</v>
      </c>
      <c r="D80" s="46">
        <v>14</v>
      </c>
      <c r="E80" s="46">
        <v>16</v>
      </c>
      <c r="F80" s="46">
        <v>16</v>
      </c>
      <c r="G80" s="46">
        <v>16</v>
      </c>
      <c r="H80" s="14">
        <f t="shared" si="0"/>
        <v>76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22.5" customHeight="1">
      <c r="A81" s="12">
        <v>76</v>
      </c>
      <c r="B81" s="16" t="s">
        <v>45</v>
      </c>
      <c r="C81" s="46">
        <v>14</v>
      </c>
      <c r="D81" s="46">
        <v>12</v>
      </c>
      <c r="E81" s="46">
        <v>12</v>
      </c>
      <c r="F81" s="46">
        <v>14</v>
      </c>
      <c r="G81" s="46">
        <v>14</v>
      </c>
      <c r="H81" s="14">
        <f t="shared" si="0"/>
        <v>66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22.5" customHeight="1">
      <c r="A82" s="12">
        <v>77</v>
      </c>
      <c r="B82" s="16" t="s">
        <v>76</v>
      </c>
      <c r="C82" s="46">
        <v>16</v>
      </c>
      <c r="D82" s="46">
        <v>16</v>
      </c>
      <c r="E82" s="46">
        <v>16</v>
      </c>
      <c r="F82" s="46">
        <v>16</v>
      </c>
      <c r="G82" s="46">
        <v>13</v>
      </c>
      <c r="H82" s="14">
        <f t="shared" si="0"/>
        <v>77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22.5" customHeight="1">
      <c r="A83" s="12">
        <v>78</v>
      </c>
      <c r="B83" s="16" t="s">
        <v>47</v>
      </c>
      <c r="C83" s="46">
        <v>14</v>
      </c>
      <c r="D83" s="46">
        <v>15</v>
      </c>
      <c r="E83" s="46">
        <v>16</v>
      </c>
      <c r="F83" s="46">
        <v>16</v>
      </c>
      <c r="G83" s="46">
        <v>16</v>
      </c>
      <c r="H83" s="14">
        <f t="shared" si="0"/>
        <v>77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22.5" customHeight="1">
      <c r="A84" s="12">
        <v>79</v>
      </c>
      <c r="B84" s="16" t="s">
        <v>77</v>
      </c>
      <c r="C84" s="46">
        <v>15</v>
      </c>
      <c r="D84" s="46">
        <v>16</v>
      </c>
      <c r="E84" s="46">
        <v>15</v>
      </c>
      <c r="F84" s="46">
        <v>16</v>
      </c>
      <c r="G84" s="46">
        <v>16</v>
      </c>
      <c r="H84" s="14">
        <f t="shared" si="0"/>
        <v>78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22.5" customHeight="1">
      <c r="A85" s="12">
        <v>80</v>
      </c>
      <c r="B85" s="16" t="s">
        <v>78</v>
      </c>
      <c r="C85" s="46">
        <v>16</v>
      </c>
      <c r="D85" s="46">
        <v>15</v>
      </c>
      <c r="E85" s="46">
        <v>13</v>
      </c>
      <c r="F85" s="46">
        <v>14</v>
      </c>
      <c r="G85" s="46">
        <v>14</v>
      </c>
      <c r="H85" s="14">
        <f t="shared" si="0"/>
        <v>72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22.5" customHeight="1">
      <c r="A86" s="12">
        <v>81</v>
      </c>
      <c r="B86" s="16" t="s">
        <v>79</v>
      </c>
      <c r="C86" s="46">
        <v>15</v>
      </c>
      <c r="D86" s="46">
        <v>16</v>
      </c>
      <c r="E86" s="46">
        <v>15</v>
      </c>
      <c r="F86" s="46">
        <v>16</v>
      </c>
      <c r="G86" s="46">
        <v>16</v>
      </c>
      <c r="H86" s="14">
        <f t="shared" si="0"/>
        <v>78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22.5" customHeight="1">
      <c r="A87" s="12">
        <v>82</v>
      </c>
      <c r="B87" s="16" t="s">
        <v>80</v>
      </c>
      <c r="C87" s="46">
        <v>17</v>
      </c>
      <c r="D87" s="46">
        <v>18</v>
      </c>
      <c r="E87" s="46">
        <v>17</v>
      </c>
      <c r="F87" s="46">
        <v>17</v>
      </c>
      <c r="G87" s="46">
        <v>16</v>
      </c>
      <c r="H87" s="14">
        <f t="shared" si="0"/>
        <v>85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22.5" customHeight="1">
      <c r="A88" s="12">
        <v>83</v>
      </c>
      <c r="B88" s="16" t="s">
        <v>81</v>
      </c>
      <c r="C88" s="46">
        <v>15</v>
      </c>
      <c r="D88" s="46">
        <v>14</v>
      </c>
      <c r="E88" s="46">
        <v>16</v>
      </c>
      <c r="F88" s="46">
        <v>14</v>
      </c>
      <c r="G88" s="46">
        <v>14</v>
      </c>
      <c r="H88" s="14">
        <f t="shared" si="0"/>
        <v>73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22.5" customHeight="1">
      <c r="A89" s="12">
        <v>84</v>
      </c>
      <c r="B89" s="16" t="s">
        <v>47</v>
      </c>
      <c r="C89" s="46">
        <v>17</v>
      </c>
      <c r="D89" s="46">
        <v>16</v>
      </c>
      <c r="E89" s="46">
        <v>16</v>
      </c>
      <c r="F89" s="46">
        <v>16</v>
      </c>
      <c r="G89" s="46">
        <v>16</v>
      </c>
      <c r="H89" s="14">
        <f t="shared" si="0"/>
        <v>81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22.5" customHeight="1">
      <c r="A90" s="12">
        <v>85</v>
      </c>
      <c r="B90" s="20" t="s">
        <v>82</v>
      </c>
      <c r="C90" s="46">
        <v>14</v>
      </c>
      <c r="D90" s="46">
        <v>14</v>
      </c>
      <c r="E90" s="46">
        <v>13</v>
      </c>
      <c r="F90" s="46">
        <v>15</v>
      </c>
      <c r="G90" s="46">
        <v>14</v>
      </c>
      <c r="H90" s="14">
        <f t="shared" si="0"/>
        <v>70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22.5" customHeight="1">
      <c r="A91" s="12">
        <v>86</v>
      </c>
      <c r="B91" s="20" t="s">
        <v>47</v>
      </c>
      <c r="C91" s="46">
        <v>17</v>
      </c>
      <c r="D91" s="46">
        <v>18</v>
      </c>
      <c r="E91" s="46">
        <v>17</v>
      </c>
      <c r="F91" s="46">
        <v>16</v>
      </c>
      <c r="G91" s="46">
        <v>16</v>
      </c>
      <c r="H91" s="14">
        <f t="shared" si="0"/>
        <v>84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22.5" customHeight="1">
      <c r="A92" s="12">
        <v>87</v>
      </c>
      <c r="B92" s="20" t="s">
        <v>52</v>
      </c>
      <c r="C92" s="46">
        <v>15</v>
      </c>
      <c r="D92" s="46">
        <v>14</v>
      </c>
      <c r="E92" s="46">
        <v>14</v>
      </c>
      <c r="F92" s="46">
        <v>15</v>
      </c>
      <c r="G92" s="46">
        <v>14</v>
      </c>
      <c r="H92" s="14">
        <f t="shared" si="0"/>
        <v>72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22.5" customHeight="1">
      <c r="A93" s="12">
        <v>88</v>
      </c>
      <c r="B93" s="20" t="s">
        <v>83</v>
      </c>
      <c r="C93" s="46">
        <v>14</v>
      </c>
      <c r="D93" s="46">
        <v>16</v>
      </c>
      <c r="E93" s="46">
        <v>13</v>
      </c>
      <c r="F93" s="46">
        <v>16</v>
      </c>
      <c r="G93" s="46">
        <v>16</v>
      </c>
      <c r="H93" s="14">
        <f t="shared" si="0"/>
        <v>75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22.5" customHeight="1">
      <c r="A94" s="12">
        <v>89</v>
      </c>
      <c r="B94" s="20" t="s">
        <v>84</v>
      </c>
      <c r="C94" s="46">
        <v>15</v>
      </c>
      <c r="D94" s="46">
        <v>17</v>
      </c>
      <c r="E94" s="46">
        <v>15</v>
      </c>
      <c r="F94" s="46">
        <v>16</v>
      </c>
      <c r="G94" s="46">
        <v>14</v>
      </c>
      <c r="H94" s="14">
        <f t="shared" si="0"/>
        <v>77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22.5" customHeight="1">
      <c r="A95" s="21">
        <v>90</v>
      </c>
      <c r="B95" s="22" t="s">
        <v>85</v>
      </c>
      <c r="C95" s="46">
        <v>16</v>
      </c>
      <c r="D95" s="46">
        <v>14</v>
      </c>
      <c r="E95" s="46">
        <v>14</v>
      </c>
      <c r="F95" s="46">
        <v>14</v>
      </c>
      <c r="G95" s="46">
        <v>14</v>
      </c>
      <c r="H95" s="23">
        <f t="shared" si="0"/>
        <v>72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4.25">
      <c r="A96" s="24"/>
      <c r="B96" s="24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4.25">
      <c r="A97" s="24"/>
      <c r="B97" s="24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4.25">
      <c r="A98" s="24"/>
      <c r="B98" s="24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4.25">
      <c r="A99" s="24"/>
      <c r="B99" s="24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4.25">
      <c r="A100" s="24"/>
      <c r="B100" s="24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4.25">
      <c r="A101" s="24"/>
      <c r="B101" s="24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4.25">
      <c r="A102" s="24"/>
      <c r="B102" s="24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4.25">
      <c r="A103" s="24"/>
      <c r="B103" s="24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4.25">
      <c r="A104" s="24"/>
      <c r="B104" s="24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4.25">
      <c r="A105" s="24"/>
      <c r="B105" s="24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4.25">
      <c r="A106" s="24"/>
      <c r="B106" s="24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4.25">
      <c r="A107" s="24"/>
      <c r="B107" s="24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4.25">
      <c r="A108" s="24"/>
      <c r="B108" s="24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4.25">
      <c r="A109" s="24"/>
      <c r="B109" s="24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4.25">
      <c r="A110" s="24"/>
      <c r="B110" s="24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4.25">
      <c r="A111" s="24"/>
      <c r="B111" s="24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4.25">
      <c r="A112" s="24"/>
      <c r="B112" s="24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4.25">
      <c r="A113" s="24"/>
      <c r="B113" s="24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4.25">
      <c r="A114" s="24"/>
      <c r="B114" s="24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4.25">
      <c r="A115" s="24"/>
      <c r="B115" s="24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4.25">
      <c r="A116" s="24"/>
      <c r="B116" s="24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4.25">
      <c r="A117" s="24"/>
      <c r="B117" s="24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4.25">
      <c r="A118" s="24"/>
      <c r="B118" s="24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4.25">
      <c r="A119" s="24"/>
      <c r="B119" s="24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4.25">
      <c r="A120" s="24"/>
      <c r="B120" s="24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4.25">
      <c r="A121" s="24"/>
      <c r="B121" s="24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4.25">
      <c r="A122" s="24"/>
      <c r="B122" s="24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4.25">
      <c r="A123" s="24"/>
      <c r="B123" s="24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4.25">
      <c r="A124" s="24"/>
      <c r="B124" s="24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4.25">
      <c r="A125" s="24"/>
      <c r="B125" s="24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4.25">
      <c r="A126" s="24"/>
      <c r="B126" s="24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4.25">
      <c r="A127" s="24"/>
      <c r="B127" s="24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4.25">
      <c r="A128" s="24"/>
      <c r="B128" s="24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4.25">
      <c r="A129" s="24"/>
      <c r="B129" s="24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4.25">
      <c r="A130" s="24"/>
      <c r="B130" s="24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4.25">
      <c r="A131" s="24"/>
      <c r="B131" s="24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4.25">
      <c r="A132" s="24"/>
      <c r="B132" s="24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4.25">
      <c r="A133" s="24"/>
      <c r="B133" s="24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4.25">
      <c r="A134" s="24"/>
      <c r="B134" s="24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4.25">
      <c r="A135" s="24"/>
      <c r="B135" s="24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4.25">
      <c r="A136" s="24"/>
      <c r="B136" s="24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4.25">
      <c r="A137" s="24"/>
      <c r="B137" s="24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4.25">
      <c r="A138" s="24"/>
      <c r="B138" s="24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4.25">
      <c r="A139" s="24"/>
      <c r="B139" s="24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4.25">
      <c r="A140" s="24"/>
      <c r="B140" s="24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4.25">
      <c r="A141" s="24"/>
      <c r="B141" s="24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4.25">
      <c r="A142" s="24"/>
      <c r="B142" s="24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4.25">
      <c r="A143" s="24"/>
      <c r="B143" s="24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4.25">
      <c r="A144" s="24"/>
      <c r="B144" s="24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4.25">
      <c r="A145" s="24"/>
      <c r="B145" s="24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4.25">
      <c r="A146" s="24"/>
      <c r="B146" s="24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4.25">
      <c r="A147" s="24"/>
      <c r="B147" s="24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4.25">
      <c r="A148" s="24"/>
      <c r="B148" s="24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4.25">
      <c r="A149" s="24"/>
      <c r="B149" s="24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4.25">
      <c r="A150" s="24"/>
      <c r="B150" s="24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4.25">
      <c r="A151" s="24"/>
      <c r="B151" s="24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4.25">
      <c r="A152" s="24"/>
      <c r="B152" s="24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4.25">
      <c r="A153" s="24"/>
      <c r="B153" s="24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4.25">
      <c r="A154" s="24"/>
      <c r="B154" s="24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4.25">
      <c r="A155" s="24"/>
      <c r="B155" s="24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4.25">
      <c r="A156" s="24"/>
      <c r="B156" s="24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4.25">
      <c r="A157" s="24"/>
      <c r="B157" s="24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4.25">
      <c r="A158" s="24"/>
      <c r="B158" s="24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4.25">
      <c r="A159" s="24"/>
      <c r="B159" s="24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4.25">
      <c r="A160" s="24"/>
      <c r="B160" s="24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4.25">
      <c r="A161" s="24"/>
      <c r="B161" s="24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4.25">
      <c r="A162" s="24"/>
      <c r="B162" s="24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4.25">
      <c r="A163" s="24"/>
      <c r="B163" s="24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4.25">
      <c r="A164" s="24"/>
      <c r="B164" s="24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4.25">
      <c r="A165" s="24"/>
      <c r="B165" s="24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4.25">
      <c r="A166" s="24"/>
      <c r="B166" s="24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4.25">
      <c r="A167" s="24"/>
      <c r="B167" s="24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4.25">
      <c r="A168" s="24"/>
      <c r="B168" s="24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4.25">
      <c r="A169" s="24"/>
      <c r="B169" s="24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4.25">
      <c r="A170" s="24"/>
      <c r="B170" s="24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4.25">
      <c r="A171" s="24"/>
      <c r="B171" s="24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4.25">
      <c r="A172" s="24"/>
      <c r="B172" s="24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4.25">
      <c r="A173" s="24"/>
      <c r="B173" s="24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4.25">
      <c r="A174" s="24"/>
      <c r="B174" s="24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4.25">
      <c r="A175" s="24"/>
      <c r="B175" s="24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4.25">
      <c r="A176" s="24"/>
      <c r="B176" s="24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4.25">
      <c r="A177" s="24"/>
      <c r="B177" s="24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4.25">
      <c r="A178" s="24"/>
      <c r="B178" s="24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4.25">
      <c r="A179" s="24"/>
      <c r="B179" s="24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4.25">
      <c r="A180" s="24"/>
      <c r="B180" s="24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4.25">
      <c r="A181" s="24"/>
      <c r="B181" s="24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4.25">
      <c r="A182" s="24"/>
      <c r="B182" s="24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4.25">
      <c r="A183" s="24"/>
      <c r="B183" s="24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4.25">
      <c r="A184" s="24"/>
      <c r="B184" s="24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4.25">
      <c r="A185" s="24"/>
      <c r="B185" s="24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4.25">
      <c r="A186" s="24"/>
      <c r="B186" s="24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4.25">
      <c r="A187" s="24"/>
      <c r="B187" s="24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4.25">
      <c r="A188" s="24"/>
      <c r="B188" s="24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4.25">
      <c r="A189" s="24"/>
      <c r="B189" s="24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4.25">
      <c r="A190" s="24"/>
      <c r="B190" s="24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4.25">
      <c r="A191" s="24"/>
      <c r="B191" s="24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4.25">
      <c r="A192" s="24"/>
      <c r="B192" s="24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4.25">
      <c r="A193" s="24"/>
      <c r="B193" s="24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4.25">
      <c r="A194" s="24"/>
      <c r="B194" s="24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4.25">
      <c r="A195" s="24"/>
      <c r="B195" s="24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4.25">
      <c r="A196" s="24"/>
      <c r="B196" s="24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4.25">
      <c r="A197" s="24"/>
      <c r="B197" s="24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4.25">
      <c r="A198" s="24"/>
      <c r="B198" s="24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4.25">
      <c r="A199" s="24"/>
      <c r="B199" s="24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4.25">
      <c r="A200" s="24"/>
      <c r="B200" s="24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4.25">
      <c r="A201" s="24"/>
      <c r="B201" s="24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4.25">
      <c r="A202" s="24"/>
      <c r="B202" s="24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4.25">
      <c r="A203" s="24"/>
      <c r="B203" s="24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4.25">
      <c r="A204" s="24"/>
      <c r="B204" s="24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4.25">
      <c r="A205" s="24"/>
      <c r="B205" s="24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4.25">
      <c r="A206" s="24"/>
      <c r="B206" s="24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4.25">
      <c r="A207" s="24"/>
      <c r="B207" s="24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4.25">
      <c r="A208" s="24"/>
      <c r="B208" s="24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4.25">
      <c r="A209" s="24"/>
      <c r="B209" s="24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4.25">
      <c r="A210" s="24"/>
      <c r="B210" s="24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4.25">
      <c r="A211" s="24"/>
      <c r="B211" s="24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4.25">
      <c r="A212" s="24"/>
      <c r="B212" s="24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4.25">
      <c r="A213" s="24"/>
      <c r="B213" s="24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4.25">
      <c r="A214" s="24"/>
      <c r="B214" s="24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4.25">
      <c r="A215" s="24"/>
      <c r="B215" s="24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4.25">
      <c r="A216" s="24"/>
      <c r="B216" s="24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4.25">
      <c r="A217" s="24"/>
      <c r="B217" s="24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4.25">
      <c r="A218" s="24"/>
      <c r="B218" s="24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4.25">
      <c r="A219" s="24"/>
      <c r="B219" s="24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4.25">
      <c r="A220" s="24"/>
      <c r="B220" s="24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4.25">
      <c r="A221" s="24"/>
      <c r="B221" s="24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4.25">
      <c r="A222" s="24"/>
      <c r="B222" s="24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4.25">
      <c r="A223" s="24"/>
      <c r="B223" s="24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4.25">
      <c r="A224" s="24"/>
      <c r="B224" s="24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4.25">
      <c r="A225" s="24"/>
      <c r="B225" s="24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4.25">
      <c r="A226" s="24"/>
      <c r="B226" s="24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4.25">
      <c r="A227" s="24"/>
      <c r="B227" s="24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4.25">
      <c r="A228" s="24"/>
      <c r="B228" s="24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4.25">
      <c r="A229" s="24"/>
      <c r="B229" s="24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4.25">
      <c r="A230" s="24"/>
      <c r="B230" s="24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4.25">
      <c r="A231" s="24"/>
      <c r="B231" s="24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4.25">
      <c r="A232" s="24"/>
      <c r="B232" s="24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4.25">
      <c r="A233" s="24"/>
      <c r="B233" s="24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4.25">
      <c r="A234" s="24"/>
      <c r="B234" s="24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4.25">
      <c r="A235" s="24"/>
      <c r="B235" s="24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4.25">
      <c r="A236" s="24"/>
      <c r="B236" s="24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4.25">
      <c r="A237" s="24"/>
      <c r="B237" s="24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4.25">
      <c r="A238" s="24"/>
      <c r="B238" s="24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4.25">
      <c r="A239" s="24"/>
      <c r="B239" s="24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4.25">
      <c r="A240" s="24"/>
      <c r="B240" s="24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4.25">
      <c r="A241" s="24"/>
      <c r="B241" s="24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4.25">
      <c r="A242" s="24"/>
      <c r="B242" s="24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4.25">
      <c r="A243" s="24"/>
      <c r="B243" s="24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4.25">
      <c r="A244" s="24"/>
      <c r="B244" s="24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4.25">
      <c r="A245" s="24"/>
      <c r="B245" s="24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4.25">
      <c r="A246" s="24"/>
      <c r="B246" s="24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4.25">
      <c r="A247" s="24"/>
      <c r="B247" s="24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4.25">
      <c r="A248" s="24"/>
      <c r="B248" s="24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4.25">
      <c r="A249" s="24"/>
      <c r="B249" s="24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4.25">
      <c r="A250" s="24"/>
      <c r="B250" s="24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4.25">
      <c r="A251" s="24"/>
      <c r="B251" s="24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4.25">
      <c r="A252" s="24"/>
      <c r="B252" s="24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4.25">
      <c r="A253" s="24"/>
      <c r="B253" s="24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4.25">
      <c r="A254" s="24"/>
      <c r="B254" s="24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4.25">
      <c r="A255" s="24"/>
      <c r="B255" s="24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4.25">
      <c r="A256" s="24"/>
      <c r="B256" s="24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4.25">
      <c r="A257" s="24"/>
      <c r="B257" s="24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4.25">
      <c r="A258" s="24"/>
      <c r="B258" s="24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4.25">
      <c r="A259" s="24"/>
      <c r="B259" s="24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4.25">
      <c r="A260" s="24"/>
      <c r="B260" s="24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4.25">
      <c r="A261" s="24"/>
      <c r="B261" s="24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4.25">
      <c r="A262" s="24"/>
      <c r="B262" s="24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4.25">
      <c r="A263" s="24"/>
      <c r="B263" s="24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4.25">
      <c r="A264" s="24"/>
      <c r="B264" s="24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4.25">
      <c r="A265" s="24"/>
      <c r="B265" s="24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4.25">
      <c r="A266" s="24"/>
      <c r="B266" s="24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4.25">
      <c r="A267" s="24"/>
      <c r="B267" s="24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4.25">
      <c r="A268" s="24"/>
      <c r="B268" s="24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4.25">
      <c r="A269" s="24"/>
      <c r="B269" s="24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4.25">
      <c r="A270" s="24"/>
      <c r="B270" s="24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4.25">
      <c r="A271" s="24"/>
      <c r="B271" s="24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4.25">
      <c r="A272" s="24"/>
      <c r="B272" s="24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4.25">
      <c r="A273" s="24"/>
      <c r="B273" s="24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4.25">
      <c r="A274" s="24"/>
      <c r="B274" s="24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4.25">
      <c r="A275" s="24"/>
      <c r="B275" s="24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4.25">
      <c r="A276" s="24"/>
      <c r="B276" s="24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4.25">
      <c r="A277" s="24"/>
      <c r="B277" s="24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4.25">
      <c r="A278" s="24"/>
      <c r="B278" s="24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4.25">
      <c r="A279" s="24"/>
      <c r="B279" s="24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4.25">
      <c r="A280" s="24"/>
      <c r="B280" s="24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4.25">
      <c r="A281" s="24"/>
      <c r="B281" s="24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4.25">
      <c r="A282" s="24"/>
      <c r="B282" s="24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4.25">
      <c r="A283" s="24"/>
      <c r="B283" s="24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4.25">
      <c r="A284" s="24"/>
      <c r="B284" s="24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4.25">
      <c r="A285" s="24"/>
      <c r="B285" s="24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4.25">
      <c r="A286" s="24"/>
      <c r="B286" s="24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4.25">
      <c r="A287" s="24"/>
      <c r="B287" s="24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4.25">
      <c r="A288" s="24"/>
      <c r="B288" s="24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4.25">
      <c r="A289" s="24"/>
      <c r="B289" s="24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4.25">
      <c r="A290" s="24"/>
      <c r="B290" s="24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4.25">
      <c r="A291" s="24"/>
      <c r="B291" s="24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4.25">
      <c r="A292" s="24"/>
      <c r="B292" s="24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4.25">
      <c r="A293" s="24"/>
      <c r="B293" s="24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4.25">
      <c r="A294" s="24"/>
      <c r="B294" s="24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4.25">
      <c r="A295" s="24"/>
      <c r="B295" s="24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4.25">
      <c r="A296" s="24"/>
      <c r="B296" s="24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4.25">
      <c r="A297" s="24"/>
      <c r="B297" s="24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4.25">
      <c r="A298" s="24"/>
      <c r="B298" s="24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4.25">
      <c r="A299" s="24"/>
      <c r="B299" s="24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4.25">
      <c r="A300" s="24"/>
      <c r="B300" s="24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4.25">
      <c r="A301" s="24"/>
      <c r="B301" s="24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4.25">
      <c r="A302" s="24"/>
      <c r="B302" s="24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4.25">
      <c r="A303" s="24"/>
      <c r="B303" s="24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4.25">
      <c r="A304" s="24"/>
      <c r="B304" s="24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4.25">
      <c r="A305" s="24"/>
      <c r="B305" s="24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4.25">
      <c r="A306" s="24"/>
      <c r="B306" s="24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4.25">
      <c r="A307" s="24"/>
      <c r="B307" s="24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4.25">
      <c r="A308" s="24"/>
      <c r="B308" s="24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4.25">
      <c r="A309" s="24"/>
      <c r="B309" s="24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4.25">
      <c r="A310" s="24"/>
      <c r="B310" s="24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4.25">
      <c r="A311" s="24"/>
      <c r="B311" s="24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4.25">
      <c r="A312" s="24"/>
      <c r="B312" s="24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4.25">
      <c r="A313" s="24"/>
      <c r="B313" s="24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4.25">
      <c r="A314" s="24"/>
      <c r="B314" s="24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4.25">
      <c r="A315" s="24"/>
      <c r="B315" s="24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4.25">
      <c r="A316" s="24"/>
      <c r="B316" s="24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4.25">
      <c r="A317" s="24"/>
      <c r="B317" s="24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4.25">
      <c r="A318" s="24"/>
      <c r="B318" s="24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4.25">
      <c r="A319" s="24"/>
      <c r="B319" s="24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4.25">
      <c r="A320" s="24"/>
      <c r="B320" s="24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4.25">
      <c r="A321" s="24"/>
      <c r="B321" s="24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4.25">
      <c r="A322" s="24"/>
      <c r="B322" s="24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4.25">
      <c r="A323" s="24"/>
      <c r="B323" s="24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4.25">
      <c r="A324" s="24"/>
      <c r="B324" s="24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4.25">
      <c r="A325" s="24"/>
      <c r="B325" s="24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4.25">
      <c r="A326" s="24"/>
      <c r="B326" s="24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4.25">
      <c r="A327" s="24"/>
      <c r="B327" s="24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4.25">
      <c r="A328" s="24"/>
      <c r="B328" s="24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4.25">
      <c r="A329" s="24"/>
      <c r="B329" s="24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4.25">
      <c r="A330" s="24"/>
      <c r="B330" s="24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4.25">
      <c r="A331" s="24"/>
      <c r="B331" s="24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4.25">
      <c r="A332" s="24"/>
      <c r="B332" s="24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4.25">
      <c r="A333" s="24"/>
      <c r="B333" s="24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4.25">
      <c r="A334" s="24"/>
      <c r="B334" s="24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4.25">
      <c r="A335" s="24"/>
      <c r="B335" s="24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4.25">
      <c r="A336" s="24"/>
      <c r="B336" s="24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4.25">
      <c r="A337" s="24"/>
      <c r="B337" s="24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4.25">
      <c r="A338" s="24"/>
      <c r="B338" s="24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4.25">
      <c r="A339" s="24"/>
      <c r="B339" s="24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4.25">
      <c r="A340" s="24"/>
      <c r="B340" s="24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4.25">
      <c r="A341" s="24"/>
      <c r="B341" s="24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4.25">
      <c r="A342" s="24"/>
      <c r="B342" s="24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4.25">
      <c r="A343" s="24"/>
      <c r="B343" s="24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4.25">
      <c r="A344" s="24"/>
      <c r="B344" s="24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4.25">
      <c r="A345" s="24"/>
      <c r="B345" s="24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4.25">
      <c r="A346" s="24"/>
      <c r="B346" s="24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4.25">
      <c r="A347" s="24"/>
      <c r="B347" s="24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4.25">
      <c r="A348" s="24"/>
      <c r="B348" s="24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4.25">
      <c r="A349" s="24"/>
      <c r="B349" s="24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4.25">
      <c r="A350" s="24"/>
      <c r="B350" s="24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4.25">
      <c r="A351" s="24"/>
      <c r="B351" s="24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4.25">
      <c r="A352" s="24"/>
      <c r="B352" s="24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4.25">
      <c r="A353" s="24"/>
      <c r="B353" s="24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4.25">
      <c r="A354" s="24"/>
      <c r="B354" s="24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4.25">
      <c r="A355" s="24"/>
      <c r="B355" s="24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4.25">
      <c r="A356" s="24"/>
      <c r="B356" s="24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4.25">
      <c r="A357" s="24"/>
      <c r="B357" s="24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4.25">
      <c r="A358" s="24"/>
      <c r="B358" s="24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4.25">
      <c r="A359" s="24"/>
      <c r="B359" s="24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4.25">
      <c r="A360" s="24"/>
      <c r="B360" s="24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4.25">
      <c r="A361" s="24"/>
      <c r="B361" s="24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4.25">
      <c r="A362" s="24"/>
      <c r="B362" s="24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4.25">
      <c r="A363" s="24"/>
      <c r="B363" s="24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4.25">
      <c r="A364" s="24"/>
      <c r="B364" s="24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4.25">
      <c r="A365" s="24"/>
      <c r="B365" s="24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4.25">
      <c r="A366" s="24"/>
      <c r="B366" s="24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4.25">
      <c r="A367" s="24"/>
      <c r="B367" s="24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4.25">
      <c r="A368" s="24"/>
      <c r="B368" s="24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4.25">
      <c r="A369" s="24"/>
      <c r="B369" s="24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4.25">
      <c r="A370" s="24"/>
      <c r="B370" s="24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4.25">
      <c r="A371" s="24"/>
      <c r="B371" s="24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4.25">
      <c r="A372" s="24"/>
      <c r="B372" s="24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4.25">
      <c r="A373" s="24"/>
      <c r="B373" s="24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4.25">
      <c r="A374" s="24"/>
      <c r="B374" s="24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4.25">
      <c r="A375" s="24"/>
      <c r="B375" s="24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4.25">
      <c r="A376" s="24"/>
      <c r="B376" s="24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4.25">
      <c r="A377" s="24"/>
      <c r="B377" s="24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4.25">
      <c r="A378" s="24"/>
      <c r="B378" s="24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4.25">
      <c r="A379" s="24"/>
      <c r="B379" s="24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4.25">
      <c r="A380" s="24"/>
      <c r="B380" s="24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4.25">
      <c r="A381" s="24"/>
      <c r="B381" s="24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4.25">
      <c r="A382" s="24"/>
      <c r="B382" s="24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4.25">
      <c r="A383" s="24"/>
      <c r="B383" s="24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4.25">
      <c r="A384" s="24"/>
      <c r="B384" s="24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4.25">
      <c r="A385" s="24"/>
      <c r="B385" s="24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4.25">
      <c r="A386" s="24"/>
      <c r="B386" s="24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4.25">
      <c r="A387" s="24"/>
      <c r="B387" s="24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4.25">
      <c r="A388" s="24"/>
      <c r="B388" s="24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4.25">
      <c r="A389" s="24"/>
      <c r="B389" s="24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4.25">
      <c r="A390" s="24"/>
      <c r="B390" s="24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4.25">
      <c r="A391" s="24"/>
      <c r="B391" s="24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4.25">
      <c r="A392" s="24"/>
      <c r="B392" s="24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4.25">
      <c r="A393" s="24"/>
      <c r="B393" s="24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4.25">
      <c r="A394" s="24"/>
      <c r="B394" s="24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4.25">
      <c r="A395" s="24"/>
      <c r="B395" s="24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4.25">
      <c r="A396" s="24"/>
      <c r="B396" s="24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4.25">
      <c r="A397" s="24"/>
      <c r="B397" s="24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4.25">
      <c r="A398" s="24"/>
      <c r="B398" s="24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4.25">
      <c r="A399" s="24"/>
      <c r="B399" s="24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4.25">
      <c r="A400" s="24"/>
      <c r="B400" s="24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4.25">
      <c r="A401" s="24"/>
      <c r="B401" s="24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4.25">
      <c r="A402" s="24"/>
      <c r="B402" s="24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4.25">
      <c r="A403" s="24"/>
      <c r="B403" s="24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4.25">
      <c r="A404" s="24"/>
      <c r="B404" s="24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4.25">
      <c r="A405" s="24"/>
      <c r="B405" s="24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4.25">
      <c r="A406" s="24"/>
      <c r="B406" s="24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4.25">
      <c r="A407" s="24"/>
      <c r="B407" s="24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4.25">
      <c r="A408" s="24"/>
      <c r="B408" s="24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4.25">
      <c r="A409" s="24"/>
      <c r="B409" s="24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4.25">
      <c r="A410" s="24"/>
      <c r="B410" s="24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4.25">
      <c r="A411" s="24"/>
      <c r="B411" s="24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4.25">
      <c r="A412" s="24"/>
      <c r="B412" s="24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4.25">
      <c r="A413" s="24"/>
      <c r="B413" s="24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4.25">
      <c r="A414" s="24"/>
      <c r="B414" s="24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4.25">
      <c r="A415" s="24"/>
      <c r="B415" s="24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4.25">
      <c r="A416" s="24"/>
      <c r="B416" s="24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4.25">
      <c r="A417" s="24"/>
      <c r="B417" s="24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4.25">
      <c r="A418" s="24"/>
      <c r="B418" s="24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4.25">
      <c r="A419" s="24"/>
      <c r="B419" s="24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4.25">
      <c r="A420" s="24"/>
      <c r="B420" s="24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4.25">
      <c r="A421" s="24"/>
      <c r="B421" s="24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4.25">
      <c r="A422" s="24"/>
      <c r="B422" s="24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4.25">
      <c r="A423" s="24"/>
      <c r="B423" s="24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4.25">
      <c r="A424" s="24"/>
      <c r="B424" s="24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4.25">
      <c r="A425" s="24"/>
      <c r="B425" s="24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4.25">
      <c r="A426" s="24"/>
      <c r="B426" s="24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4.25">
      <c r="A427" s="24"/>
      <c r="B427" s="24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4.25">
      <c r="A428" s="24"/>
      <c r="B428" s="24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4.25">
      <c r="A429" s="24"/>
      <c r="B429" s="24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4.25">
      <c r="A430" s="24"/>
      <c r="B430" s="24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4.25">
      <c r="A431" s="24"/>
      <c r="B431" s="24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4.25">
      <c r="A432" s="24"/>
      <c r="B432" s="24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4.25">
      <c r="A433" s="24"/>
      <c r="B433" s="24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4.25">
      <c r="A434" s="24"/>
      <c r="B434" s="24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4.25">
      <c r="A435" s="24"/>
      <c r="B435" s="24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4.25">
      <c r="A436" s="24"/>
      <c r="B436" s="24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4.25">
      <c r="A437" s="24"/>
      <c r="B437" s="24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4.25">
      <c r="A438" s="24"/>
      <c r="B438" s="24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4.25">
      <c r="A439" s="24"/>
      <c r="B439" s="24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4.25">
      <c r="A440" s="24"/>
      <c r="B440" s="24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4.25">
      <c r="A441" s="24"/>
      <c r="B441" s="24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4.25">
      <c r="A442" s="24"/>
      <c r="B442" s="24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4.25">
      <c r="A443" s="24"/>
      <c r="B443" s="24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4.25">
      <c r="A444" s="24"/>
      <c r="B444" s="24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4.25">
      <c r="A445" s="24"/>
      <c r="B445" s="24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4.25">
      <c r="A446" s="24"/>
      <c r="B446" s="24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4.25">
      <c r="A447" s="24"/>
      <c r="B447" s="24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4.25">
      <c r="A448" s="24"/>
      <c r="B448" s="24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4.25">
      <c r="A449" s="24"/>
      <c r="B449" s="24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4.25">
      <c r="A450" s="24"/>
      <c r="B450" s="24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4.25">
      <c r="A451" s="24"/>
      <c r="B451" s="24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4.25">
      <c r="A452" s="24"/>
      <c r="B452" s="24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4.25">
      <c r="A453" s="24"/>
      <c r="B453" s="24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4.25">
      <c r="A454" s="24"/>
      <c r="B454" s="24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4.25">
      <c r="A455" s="24"/>
      <c r="B455" s="24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4.25">
      <c r="A456" s="24"/>
      <c r="B456" s="24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4.25">
      <c r="A457" s="24"/>
      <c r="B457" s="24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4.25">
      <c r="A458" s="24"/>
      <c r="B458" s="24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4.25">
      <c r="A459" s="24"/>
      <c r="B459" s="24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4.25">
      <c r="A460" s="24"/>
      <c r="B460" s="24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4.25">
      <c r="A461" s="24"/>
      <c r="B461" s="24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4.25">
      <c r="A462" s="24"/>
      <c r="B462" s="24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4.25">
      <c r="A463" s="24"/>
      <c r="B463" s="24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4.25">
      <c r="A464" s="24"/>
      <c r="B464" s="24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4.25">
      <c r="A465" s="24"/>
      <c r="B465" s="24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4.25">
      <c r="A466" s="24"/>
      <c r="B466" s="24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4.25">
      <c r="A467" s="24"/>
      <c r="B467" s="24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4.25">
      <c r="A468" s="24"/>
      <c r="B468" s="24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4.25">
      <c r="A469" s="24"/>
      <c r="B469" s="24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4.25">
      <c r="A470" s="24"/>
      <c r="B470" s="24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4.25">
      <c r="A471" s="24"/>
      <c r="B471" s="24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4.25">
      <c r="A472" s="24"/>
      <c r="B472" s="24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4.25">
      <c r="A473" s="24"/>
      <c r="B473" s="24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4.25">
      <c r="A474" s="24"/>
      <c r="B474" s="24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4.25">
      <c r="A475" s="24"/>
      <c r="B475" s="24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4.25">
      <c r="A476" s="24"/>
      <c r="B476" s="24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4.25">
      <c r="A477" s="24"/>
      <c r="B477" s="24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4.25">
      <c r="A478" s="24"/>
      <c r="B478" s="24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4.25">
      <c r="A479" s="24"/>
      <c r="B479" s="24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4.25">
      <c r="A480" s="24"/>
      <c r="B480" s="24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4.25">
      <c r="A481" s="24"/>
      <c r="B481" s="24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4.25">
      <c r="A482" s="24"/>
      <c r="B482" s="24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4.25">
      <c r="A483" s="24"/>
      <c r="B483" s="24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4.25">
      <c r="A484" s="24"/>
      <c r="B484" s="24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4.25">
      <c r="A485" s="24"/>
      <c r="B485" s="24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4.25">
      <c r="A486" s="24"/>
      <c r="B486" s="24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4.25">
      <c r="A487" s="24"/>
      <c r="B487" s="24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4.25">
      <c r="A488" s="24"/>
      <c r="B488" s="24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4.25">
      <c r="A489" s="24"/>
      <c r="B489" s="24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4.25">
      <c r="A490" s="24"/>
      <c r="B490" s="24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4.25">
      <c r="A491" s="24"/>
      <c r="B491" s="24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4.25">
      <c r="A492" s="24"/>
      <c r="B492" s="24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4.25">
      <c r="A493" s="24"/>
      <c r="B493" s="24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4.25">
      <c r="A494" s="24"/>
      <c r="B494" s="24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4.25">
      <c r="A495" s="24"/>
      <c r="B495" s="24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4.25">
      <c r="A496" s="24"/>
      <c r="B496" s="24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4.25">
      <c r="A497" s="24"/>
      <c r="B497" s="24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4.25">
      <c r="A498" s="24"/>
      <c r="B498" s="24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4.25">
      <c r="A499" s="24"/>
      <c r="B499" s="24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4.25">
      <c r="A500" s="24"/>
      <c r="B500" s="24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4.25">
      <c r="A501" s="24"/>
      <c r="B501" s="24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4.25">
      <c r="A502" s="24"/>
      <c r="B502" s="24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4.25">
      <c r="A503" s="24"/>
      <c r="B503" s="24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4.25">
      <c r="A504" s="24"/>
      <c r="B504" s="24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4.25">
      <c r="A505" s="24"/>
      <c r="B505" s="24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4.25">
      <c r="A506" s="24"/>
      <c r="B506" s="24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4.25">
      <c r="A507" s="24"/>
      <c r="B507" s="24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4.25">
      <c r="A508" s="24"/>
      <c r="B508" s="24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4.25">
      <c r="A509" s="24"/>
      <c r="B509" s="24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4.25">
      <c r="A510" s="24"/>
      <c r="B510" s="24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4.25">
      <c r="A511" s="24"/>
      <c r="B511" s="24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4.25">
      <c r="A512" s="24"/>
      <c r="B512" s="24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4.25">
      <c r="A513" s="24"/>
      <c r="B513" s="24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4.25">
      <c r="A514" s="24"/>
      <c r="B514" s="24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4.25">
      <c r="A515" s="24"/>
      <c r="B515" s="24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4.25">
      <c r="A516" s="24"/>
      <c r="B516" s="24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4.25">
      <c r="A517" s="24"/>
      <c r="B517" s="24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4.25">
      <c r="A518" s="24"/>
      <c r="B518" s="24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4.25">
      <c r="A519" s="24"/>
      <c r="B519" s="24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4.25">
      <c r="A520" s="24"/>
      <c r="B520" s="24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4.25">
      <c r="A521" s="24"/>
      <c r="B521" s="24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4.25">
      <c r="A522" s="24"/>
      <c r="B522" s="24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4.25">
      <c r="A523" s="24"/>
      <c r="B523" s="24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4.25">
      <c r="A524" s="24"/>
      <c r="B524" s="24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4.25">
      <c r="A525" s="24"/>
      <c r="B525" s="24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4.25">
      <c r="A526" s="24"/>
      <c r="B526" s="24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4.25">
      <c r="A527" s="24"/>
      <c r="B527" s="24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4.25">
      <c r="A528" s="24"/>
      <c r="B528" s="24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4.25">
      <c r="A529" s="24"/>
      <c r="B529" s="24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4.25">
      <c r="A530" s="24"/>
      <c r="B530" s="24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4.25">
      <c r="A531" s="24"/>
      <c r="B531" s="24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4.25">
      <c r="A532" s="24"/>
      <c r="B532" s="24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4.25">
      <c r="A533" s="24"/>
      <c r="B533" s="24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4.25">
      <c r="A534" s="24"/>
      <c r="B534" s="24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4.25">
      <c r="A535" s="24"/>
      <c r="B535" s="24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4.25">
      <c r="A536" s="24"/>
      <c r="B536" s="24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4.25">
      <c r="A537" s="24"/>
      <c r="B537" s="24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4.25">
      <c r="A538" s="24"/>
      <c r="B538" s="24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4.25">
      <c r="A539" s="24"/>
      <c r="B539" s="24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4.25">
      <c r="A540" s="24"/>
      <c r="B540" s="24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4.25">
      <c r="A541" s="24"/>
      <c r="B541" s="24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4.25">
      <c r="A542" s="24"/>
      <c r="B542" s="24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4.25">
      <c r="A543" s="24"/>
      <c r="B543" s="24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4.25">
      <c r="A544" s="24"/>
      <c r="B544" s="24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4.25">
      <c r="A545" s="24"/>
      <c r="B545" s="24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4.25">
      <c r="A546" s="24"/>
      <c r="B546" s="24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4.25">
      <c r="A547" s="24"/>
      <c r="B547" s="24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4.25">
      <c r="A548" s="24"/>
      <c r="B548" s="24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4.25">
      <c r="A549" s="24"/>
      <c r="B549" s="24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4.25">
      <c r="A550" s="24"/>
      <c r="B550" s="24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4.25">
      <c r="A551" s="24"/>
      <c r="B551" s="24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4.25">
      <c r="A552" s="24"/>
      <c r="B552" s="24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4.25">
      <c r="A553" s="24"/>
      <c r="B553" s="24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4.25">
      <c r="A554" s="24"/>
      <c r="B554" s="24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4.25">
      <c r="A555" s="24"/>
      <c r="B555" s="24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4.25">
      <c r="A556" s="24"/>
      <c r="B556" s="24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4.25">
      <c r="A557" s="24"/>
      <c r="B557" s="24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4.25">
      <c r="A558" s="24"/>
      <c r="B558" s="24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4.25">
      <c r="A559" s="24"/>
      <c r="B559" s="24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4.25">
      <c r="A560" s="24"/>
      <c r="B560" s="24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4.25">
      <c r="A561" s="24"/>
      <c r="B561" s="24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4.25">
      <c r="A562" s="24"/>
      <c r="B562" s="24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4.25">
      <c r="A563" s="24"/>
      <c r="B563" s="24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4.25">
      <c r="A564" s="24"/>
      <c r="B564" s="24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4.25">
      <c r="A565" s="24"/>
      <c r="B565" s="24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4.25">
      <c r="A566" s="24"/>
      <c r="B566" s="24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4.25">
      <c r="A567" s="24"/>
      <c r="B567" s="24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4.25">
      <c r="A568" s="24"/>
      <c r="B568" s="24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4.25">
      <c r="A569" s="24"/>
      <c r="B569" s="24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4.25">
      <c r="A570" s="24"/>
      <c r="B570" s="24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4.25">
      <c r="A571" s="24"/>
      <c r="B571" s="24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4.25">
      <c r="A572" s="24"/>
      <c r="B572" s="24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4.25">
      <c r="A573" s="24"/>
      <c r="B573" s="24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4.25">
      <c r="A574" s="24"/>
      <c r="B574" s="24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4.25">
      <c r="A575" s="24"/>
      <c r="B575" s="24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4.25">
      <c r="A576" s="24"/>
      <c r="B576" s="24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4.25">
      <c r="A577" s="24"/>
      <c r="B577" s="24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4.25">
      <c r="A578" s="24"/>
      <c r="B578" s="24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4.25">
      <c r="A579" s="24"/>
      <c r="B579" s="24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4.25">
      <c r="A580" s="24"/>
      <c r="B580" s="24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4.25">
      <c r="A581" s="24"/>
      <c r="B581" s="24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4.25">
      <c r="A582" s="24"/>
      <c r="B582" s="24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4.25">
      <c r="A583" s="24"/>
      <c r="B583" s="24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4.25">
      <c r="A584" s="24"/>
      <c r="B584" s="24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4.25">
      <c r="A585" s="24"/>
      <c r="B585" s="24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4.25">
      <c r="A586" s="24"/>
      <c r="B586" s="24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4.25">
      <c r="A587" s="24"/>
      <c r="B587" s="24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4.25">
      <c r="A588" s="24"/>
      <c r="B588" s="24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4.25">
      <c r="A589" s="24"/>
      <c r="B589" s="24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4.25">
      <c r="A590" s="24"/>
      <c r="B590" s="24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4.25">
      <c r="A591" s="24"/>
      <c r="B591" s="24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4.25">
      <c r="A592" s="24"/>
      <c r="B592" s="24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4.25">
      <c r="A593" s="24"/>
      <c r="B593" s="24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4.25">
      <c r="A594" s="24"/>
      <c r="B594" s="24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4.25">
      <c r="A595" s="24"/>
      <c r="B595" s="24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4.25">
      <c r="A596" s="24"/>
      <c r="B596" s="24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4.25">
      <c r="A597" s="24"/>
      <c r="B597" s="24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4.25">
      <c r="A598" s="24"/>
      <c r="B598" s="24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4.25">
      <c r="A599" s="24"/>
      <c r="B599" s="24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4.25">
      <c r="A600" s="24"/>
      <c r="B600" s="24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4.25">
      <c r="A601" s="24"/>
      <c r="B601" s="24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4.25">
      <c r="A602" s="24"/>
      <c r="B602" s="24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4.25">
      <c r="A603" s="24"/>
      <c r="B603" s="24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4.25">
      <c r="A604" s="24"/>
      <c r="B604" s="24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4.25">
      <c r="A605" s="24"/>
      <c r="B605" s="24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4.25">
      <c r="A606" s="24"/>
      <c r="B606" s="24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4.25">
      <c r="A607" s="24"/>
      <c r="B607" s="24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4.25">
      <c r="A608" s="24"/>
      <c r="B608" s="24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4.25">
      <c r="A609" s="24"/>
      <c r="B609" s="24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4.25">
      <c r="A610" s="24"/>
      <c r="B610" s="24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4.25">
      <c r="A611" s="24"/>
      <c r="B611" s="24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4.25">
      <c r="A612" s="24"/>
      <c r="B612" s="24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4.25">
      <c r="A613" s="24"/>
      <c r="B613" s="24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4.25">
      <c r="A614" s="24"/>
      <c r="B614" s="24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4.25">
      <c r="A615" s="24"/>
      <c r="B615" s="24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4.25">
      <c r="A616" s="24"/>
      <c r="B616" s="24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4.25">
      <c r="A617" s="24"/>
      <c r="B617" s="24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4.25">
      <c r="A618" s="24"/>
      <c r="B618" s="24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4.25">
      <c r="A619" s="24"/>
      <c r="B619" s="24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4.25">
      <c r="A620" s="24"/>
      <c r="B620" s="24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4.25">
      <c r="A621" s="24"/>
      <c r="B621" s="24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4.25">
      <c r="A622" s="24"/>
      <c r="B622" s="24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4.25">
      <c r="A623" s="24"/>
      <c r="B623" s="24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4.25">
      <c r="A624" s="24"/>
      <c r="B624" s="24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4.25">
      <c r="A625" s="24"/>
      <c r="B625" s="24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4.25">
      <c r="A626" s="24"/>
      <c r="B626" s="24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4.25">
      <c r="A627" s="24"/>
      <c r="B627" s="24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4.25">
      <c r="A628" s="24"/>
      <c r="B628" s="24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4.25">
      <c r="A629" s="24"/>
      <c r="B629" s="24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4.25">
      <c r="A630" s="24"/>
      <c r="B630" s="24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4.25">
      <c r="A631" s="24"/>
      <c r="B631" s="24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4.25">
      <c r="A632" s="24"/>
      <c r="B632" s="24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4.25">
      <c r="A633" s="24"/>
      <c r="B633" s="24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4.25">
      <c r="A634" s="24"/>
      <c r="B634" s="24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4.25">
      <c r="A635" s="24"/>
      <c r="B635" s="24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4.25">
      <c r="A636" s="24"/>
      <c r="B636" s="24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4.25">
      <c r="A637" s="24"/>
      <c r="B637" s="24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4.25">
      <c r="A638" s="24"/>
      <c r="B638" s="24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4.25">
      <c r="A639" s="24"/>
      <c r="B639" s="24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4.25">
      <c r="A640" s="24"/>
      <c r="B640" s="24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4.25">
      <c r="A641" s="24"/>
      <c r="B641" s="24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4.25">
      <c r="A642" s="24"/>
      <c r="B642" s="24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4.25">
      <c r="A643" s="24"/>
      <c r="B643" s="24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4.25">
      <c r="A644" s="24"/>
      <c r="B644" s="24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4.25">
      <c r="A645" s="24"/>
      <c r="B645" s="24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4.25">
      <c r="A646" s="24"/>
      <c r="B646" s="24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4.25">
      <c r="A647" s="24"/>
      <c r="B647" s="24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4.25">
      <c r="A648" s="24"/>
      <c r="B648" s="24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4.25">
      <c r="A649" s="24"/>
      <c r="B649" s="24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4.25">
      <c r="A650" s="24"/>
      <c r="B650" s="24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4.25">
      <c r="A651" s="24"/>
      <c r="B651" s="24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4.25">
      <c r="A652" s="24"/>
      <c r="B652" s="24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4.25">
      <c r="A653" s="24"/>
      <c r="B653" s="24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4.25">
      <c r="A654" s="24"/>
      <c r="B654" s="24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4.25">
      <c r="A655" s="24"/>
      <c r="B655" s="24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4.25">
      <c r="A656" s="24"/>
      <c r="B656" s="24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4.25">
      <c r="A657" s="24"/>
      <c r="B657" s="24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4.25">
      <c r="A658" s="24"/>
      <c r="B658" s="24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4.25">
      <c r="A659" s="24"/>
      <c r="B659" s="24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4.25">
      <c r="A660" s="24"/>
      <c r="B660" s="24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4.25">
      <c r="A661" s="24"/>
      <c r="B661" s="24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4.25">
      <c r="A662" s="24"/>
      <c r="B662" s="24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4.25">
      <c r="A663" s="24"/>
      <c r="B663" s="24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4.25">
      <c r="A664" s="24"/>
      <c r="B664" s="24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4.25">
      <c r="A665" s="24"/>
      <c r="B665" s="24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4.25">
      <c r="A666" s="24"/>
      <c r="B666" s="24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4.25">
      <c r="A667" s="24"/>
      <c r="B667" s="24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4.25">
      <c r="A668" s="24"/>
      <c r="B668" s="24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4.25">
      <c r="A669" s="24"/>
      <c r="B669" s="24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4.25">
      <c r="A670" s="24"/>
      <c r="B670" s="24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4.25">
      <c r="A671" s="24"/>
      <c r="B671" s="24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4.25">
      <c r="A672" s="24"/>
      <c r="B672" s="24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4.25">
      <c r="A673" s="24"/>
      <c r="B673" s="24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4.25">
      <c r="A674" s="24"/>
      <c r="B674" s="24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4.25">
      <c r="A675" s="24"/>
      <c r="B675" s="24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4.25">
      <c r="A676" s="24"/>
      <c r="B676" s="24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4.25">
      <c r="A677" s="24"/>
      <c r="B677" s="24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4.25">
      <c r="A678" s="24"/>
      <c r="B678" s="24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4.25">
      <c r="A679" s="24"/>
      <c r="B679" s="24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4.25">
      <c r="A680" s="24"/>
      <c r="B680" s="24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4.25">
      <c r="A681" s="24"/>
      <c r="B681" s="24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4.25">
      <c r="A682" s="24"/>
      <c r="B682" s="24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4.25">
      <c r="A683" s="24"/>
      <c r="B683" s="24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4.25">
      <c r="A684" s="24"/>
      <c r="B684" s="24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4.25">
      <c r="A685" s="24"/>
      <c r="B685" s="24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4.25">
      <c r="A686" s="24"/>
      <c r="B686" s="24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4.25">
      <c r="A687" s="24"/>
      <c r="B687" s="24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4.25">
      <c r="A688" s="24"/>
      <c r="B688" s="24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4.25">
      <c r="A689" s="24"/>
      <c r="B689" s="24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4.25">
      <c r="A690" s="24"/>
      <c r="B690" s="24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4.25">
      <c r="A691" s="24"/>
      <c r="B691" s="24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4.25">
      <c r="A692" s="24"/>
      <c r="B692" s="24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4.25">
      <c r="A693" s="24"/>
      <c r="B693" s="24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4.25">
      <c r="A694" s="24"/>
      <c r="B694" s="24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4.25">
      <c r="A695" s="24"/>
      <c r="B695" s="24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4.25">
      <c r="A696" s="24"/>
      <c r="B696" s="24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4.25">
      <c r="A697" s="24"/>
      <c r="B697" s="24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4.25">
      <c r="A698" s="24"/>
      <c r="B698" s="24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4.25">
      <c r="A699" s="24"/>
      <c r="B699" s="24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4.25">
      <c r="A700" s="24"/>
      <c r="B700" s="24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4.25">
      <c r="A701" s="24"/>
      <c r="B701" s="24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4.25">
      <c r="A702" s="24"/>
      <c r="B702" s="24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4.25">
      <c r="A703" s="24"/>
      <c r="B703" s="24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4.25">
      <c r="A704" s="24"/>
      <c r="B704" s="24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4.25">
      <c r="A705" s="24"/>
      <c r="B705" s="24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4.25">
      <c r="A706" s="24"/>
      <c r="B706" s="24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4.25">
      <c r="A707" s="24"/>
      <c r="B707" s="24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4.25">
      <c r="A708" s="24"/>
      <c r="B708" s="24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4.25">
      <c r="A709" s="24"/>
      <c r="B709" s="24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4.25">
      <c r="A710" s="24"/>
      <c r="B710" s="24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4.25">
      <c r="A711" s="24"/>
      <c r="B711" s="24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4.25">
      <c r="A712" s="24"/>
      <c r="B712" s="24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4.25">
      <c r="A713" s="24"/>
      <c r="B713" s="24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4.25">
      <c r="A714" s="24"/>
      <c r="B714" s="24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4.25">
      <c r="A715" s="24"/>
      <c r="B715" s="24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4.25">
      <c r="A716" s="24"/>
      <c r="B716" s="24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4.25">
      <c r="A717" s="24"/>
      <c r="B717" s="24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4.25">
      <c r="A718" s="24"/>
      <c r="B718" s="24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4.25">
      <c r="A719" s="24"/>
      <c r="B719" s="24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4.25">
      <c r="A720" s="24"/>
      <c r="B720" s="24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4.25">
      <c r="A721" s="24"/>
      <c r="B721" s="24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4.25">
      <c r="A722" s="24"/>
      <c r="B722" s="24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4.25">
      <c r="A723" s="24"/>
      <c r="B723" s="24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4.25">
      <c r="A724" s="24"/>
      <c r="B724" s="24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4.25">
      <c r="A725" s="24"/>
      <c r="B725" s="24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4.25">
      <c r="A726" s="24"/>
      <c r="B726" s="24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4.25">
      <c r="A727" s="24"/>
      <c r="B727" s="24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4.25">
      <c r="A728" s="24"/>
      <c r="B728" s="24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4.25">
      <c r="A729" s="24"/>
      <c r="B729" s="24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4.25">
      <c r="A730" s="24"/>
      <c r="B730" s="24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4.25">
      <c r="A731" s="24"/>
      <c r="B731" s="24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4.25">
      <c r="A732" s="24"/>
      <c r="B732" s="24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4.25">
      <c r="A733" s="24"/>
      <c r="B733" s="24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4.25">
      <c r="A734" s="24"/>
      <c r="B734" s="24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4.25">
      <c r="A735" s="24"/>
      <c r="B735" s="24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4.25">
      <c r="A736" s="24"/>
      <c r="B736" s="24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4.25">
      <c r="A737" s="24"/>
      <c r="B737" s="24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4.25">
      <c r="A738" s="24"/>
      <c r="B738" s="24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4.25">
      <c r="A739" s="24"/>
      <c r="B739" s="24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4.25">
      <c r="A740" s="24"/>
      <c r="B740" s="24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4.25">
      <c r="A741" s="24"/>
      <c r="B741" s="24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4.25">
      <c r="A742" s="24"/>
      <c r="B742" s="24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4.25">
      <c r="A743" s="24"/>
      <c r="B743" s="24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4.25">
      <c r="A744" s="24"/>
      <c r="B744" s="24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4.25">
      <c r="A745" s="24"/>
      <c r="B745" s="24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4.25">
      <c r="A746" s="24"/>
      <c r="B746" s="24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4.25">
      <c r="A747" s="24"/>
      <c r="B747" s="24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4.25">
      <c r="A748" s="24"/>
      <c r="B748" s="24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4.25">
      <c r="A749" s="24"/>
      <c r="B749" s="24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4.25">
      <c r="A750" s="24"/>
      <c r="B750" s="24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4.25">
      <c r="A751" s="24"/>
      <c r="B751" s="24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4.25">
      <c r="A752" s="24"/>
      <c r="B752" s="24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4.25">
      <c r="A753" s="24"/>
      <c r="B753" s="24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4.25">
      <c r="A754" s="24"/>
      <c r="B754" s="24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4.25">
      <c r="A755" s="24"/>
      <c r="B755" s="24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4.25">
      <c r="A756" s="24"/>
      <c r="B756" s="24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4.25">
      <c r="A757" s="24"/>
      <c r="B757" s="24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4.25">
      <c r="A758" s="24"/>
      <c r="B758" s="24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4.25">
      <c r="A759" s="24"/>
      <c r="B759" s="24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4.25">
      <c r="A760" s="24"/>
      <c r="B760" s="24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4.25">
      <c r="A761" s="24"/>
      <c r="B761" s="24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4.25">
      <c r="A762" s="24"/>
      <c r="B762" s="24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4.25">
      <c r="A763" s="24"/>
      <c r="B763" s="24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4.25">
      <c r="A764" s="24"/>
      <c r="B764" s="24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4.25">
      <c r="A765" s="24"/>
      <c r="B765" s="24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4.25">
      <c r="A766" s="24"/>
      <c r="B766" s="24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4.25">
      <c r="A767" s="24"/>
      <c r="B767" s="24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4.25">
      <c r="A768" s="24"/>
      <c r="B768" s="24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4.25">
      <c r="A769" s="24"/>
      <c r="B769" s="24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4.25">
      <c r="A770" s="24"/>
      <c r="B770" s="24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4.25">
      <c r="A771" s="24"/>
      <c r="B771" s="24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4.25">
      <c r="A772" s="24"/>
      <c r="B772" s="24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4.25">
      <c r="A773" s="24"/>
      <c r="B773" s="24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4.25">
      <c r="A774" s="24"/>
      <c r="B774" s="24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4.25">
      <c r="A775" s="24"/>
      <c r="B775" s="24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4.25">
      <c r="A776" s="24"/>
      <c r="B776" s="24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4.25">
      <c r="A777" s="24"/>
      <c r="B777" s="24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4.25">
      <c r="A778" s="24"/>
      <c r="B778" s="24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4.25">
      <c r="A779" s="24"/>
      <c r="B779" s="24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4.25">
      <c r="A780" s="24"/>
      <c r="B780" s="24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4.25">
      <c r="A781" s="24"/>
      <c r="B781" s="24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4.25">
      <c r="A782" s="24"/>
      <c r="B782" s="24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4.25">
      <c r="A783" s="24"/>
      <c r="B783" s="24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4.25">
      <c r="A784" s="24"/>
      <c r="B784" s="24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4.25">
      <c r="A785" s="24"/>
      <c r="B785" s="24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4.25">
      <c r="A786" s="24"/>
      <c r="B786" s="24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4.25">
      <c r="A787" s="24"/>
      <c r="B787" s="24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4.25">
      <c r="A788" s="24"/>
      <c r="B788" s="24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4.25">
      <c r="A789" s="24"/>
      <c r="B789" s="24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4.25">
      <c r="A790" s="24"/>
      <c r="B790" s="24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4.25">
      <c r="A791" s="24"/>
      <c r="B791" s="24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4.25">
      <c r="A792" s="24"/>
      <c r="B792" s="24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4.25">
      <c r="A793" s="24"/>
      <c r="B793" s="24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4.25">
      <c r="A794" s="24"/>
      <c r="B794" s="24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4.25">
      <c r="A795" s="24"/>
      <c r="B795" s="24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4.25">
      <c r="A796" s="24"/>
      <c r="B796" s="24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4.25">
      <c r="A797" s="24"/>
      <c r="B797" s="24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4.25">
      <c r="A798" s="24"/>
      <c r="B798" s="24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4.25">
      <c r="A799" s="24"/>
      <c r="B799" s="24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4.25">
      <c r="A800" s="24"/>
      <c r="B800" s="24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4.25">
      <c r="A801" s="24"/>
      <c r="B801" s="24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4.25">
      <c r="A802" s="24"/>
      <c r="B802" s="24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4.25">
      <c r="A803" s="24"/>
      <c r="B803" s="24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4.25">
      <c r="A804" s="24"/>
      <c r="B804" s="24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4.25">
      <c r="A805" s="24"/>
      <c r="B805" s="24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4.25">
      <c r="A806" s="24"/>
      <c r="B806" s="24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4.25">
      <c r="A807" s="24"/>
      <c r="B807" s="24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4.25">
      <c r="A808" s="24"/>
      <c r="B808" s="24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4.25">
      <c r="A809" s="24"/>
      <c r="B809" s="24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4.25">
      <c r="A810" s="24"/>
      <c r="B810" s="24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4.25">
      <c r="A811" s="24"/>
      <c r="B811" s="24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4.25">
      <c r="A812" s="24"/>
      <c r="B812" s="24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4.25">
      <c r="A813" s="24"/>
      <c r="B813" s="24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4.25">
      <c r="A814" s="24"/>
      <c r="B814" s="24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4.25">
      <c r="A815" s="24"/>
      <c r="B815" s="24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4.25">
      <c r="A816" s="24"/>
      <c r="B816" s="24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4.25">
      <c r="A817" s="24"/>
      <c r="B817" s="24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4.25">
      <c r="A818" s="24"/>
      <c r="B818" s="24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4.25">
      <c r="A819" s="24"/>
      <c r="B819" s="24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4.25">
      <c r="A820" s="24"/>
      <c r="B820" s="24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4.25">
      <c r="A821" s="24"/>
      <c r="B821" s="24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4.25">
      <c r="A822" s="24"/>
      <c r="B822" s="24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4.25">
      <c r="A823" s="24"/>
      <c r="B823" s="24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4.25">
      <c r="A824" s="24"/>
      <c r="B824" s="24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4.25">
      <c r="A825" s="24"/>
      <c r="B825" s="24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4.25">
      <c r="A826" s="24"/>
      <c r="B826" s="24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4.25">
      <c r="A827" s="24"/>
      <c r="B827" s="24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4.25">
      <c r="A828" s="24"/>
      <c r="B828" s="24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4.25">
      <c r="A829" s="24"/>
      <c r="B829" s="24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4.25">
      <c r="A830" s="24"/>
      <c r="B830" s="24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4.25">
      <c r="A831" s="24"/>
      <c r="B831" s="24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4.25">
      <c r="A832" s="24"/>
      <c r="B832" s="24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4.25">
      <c r="A833" s="24"/>
      <c r="B833" s="24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4.25">
      <c r="A834" s="24"/>
      <c r="B834" s="24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4.25">
      <c r="A835" s="24"/>
      <c r="B835" s="24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4.25">
      <c r="A836" s="24"/>
      <c r="B836" s="24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4.25">
      <c r="A837" s="24"/>
      <c r="B837" s="24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4.25">
      <c r="A838" s="24"/>
      <c r="B838" s="24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4.25">
      <c r="A839" s="24"/>
      <c r="B839" s="24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4.25">
      <c r="A840" s="24"/>
      <c r="B840" s="24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4.25">
      <c r="A841" s="24"/>
      <c r="B841" s="24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4.25">
      <c r="A842" s="24"/>
      <c r="B842" s="24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4.25">
      <c r="A843" s="24"/>
      <c r="B843" s="24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4.25">
      <c r="A844" s="24"/>
      <c r="B844" s="24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4.25">
      <c r="A845" s="24"/>
      <c r="B845" s="24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4.25">
      <c r="A846" s="24"/>
      <c r="B846" s="24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4.25">
      <c r="A847" s="24"/>
      <c r="B847" s="24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4.25">
      <c r="A848" s="24"/>
      <c r="B848" s="24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4.25">
      <c r="A849" s="24"/>
      <c r="B849" s="24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4.25">
      <c r="A850" s="24"/>
      <c r="B850" s="24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4.25">
      <c r="A851" s="24"/>
      <c r="B851" s="24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4.25">
      <c r="A852" s="24"/>
      <c r="B852" s="24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4.25">
      <c r="A853" s="24"/>
      <c r="B853" s="24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4.25">
      <c r="A854" s="24"/>
      <c r="B854" s="24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4.25">
      <c r="A855" s="24"/>
      <c r="B855" s="24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4.25">
      <c r="A856" s="24"/>
      <c r="B856" s="24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4.25">
      <c r="A857" s="24"/>
      <c r="B857" s="24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4.25">
      <c r="A858" s="24"/>
      <c r="B858" s="24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4.25">
      <c r="A859" s="24"/>
      <c r="B859" s="24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4.25">
      <c r="A860" s="24"/>
      <c r="B860" s="24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4.25">
      <c r="A861" s="24"/>
      <c r="B861" s="24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4.25">
      <c r="A862" s="24"/>
      <c r="B862" s="24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4.25">
      <c r="A863" s="24"/>
      <c r="B863" s="24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4.25">
      <c r="A864" s="24"/>
      <c r="B864" s="24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4.25">
      <c r="A865" s="24"/>
      <c r="B865" s="24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4.25">
      <c r="A866" s="24"/>
      <c r="B866" s="24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4.25">
      <c r="A867" s="24"/>
      <c r="B867" s="24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4.25">
      <c r="A868" s="24"/>
      <c r="B868" s="24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4.25">
      <c r="A869" s="24"/>
      <c r="B869" s="24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4.25">
      <c r="A870" s="24"/>
      <c r="B870" s="24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4.25">
      <c r="A871" s="24"/>
      <c r="B871" s="24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4.25">
      <c r="A872" s="24"/>
      <c r="B872" s="24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4.25">
      <c r="A873" s="24"/>
      <c r="B873" s="24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4.25">
      <c r="A874" s="24"/>
      <c r="B874" s="24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4.25">
      <c r="A875" s="24"/>
      <c r="B875" s="24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4.25">
      <c r="A876" s="24"/>
      <c r="B876" s="24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4.25">
      <c r="A877" s="24"/>
      <c r="B877" s="24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4.25">
      <c r="A878" s="24"/>
      <c r="B878" s="24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4.25">
      <c r="A879" s="24"/>
      <c r="B879" s="24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4.25">
      <c r="A880" s="24"/>
      <c r="B880" s="24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4.25">
      <c r="A881" s="24"/>
      <c r="B881" s="24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4.25">
      <c r="A882" s="24"/>
      <c r="B882" s="24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4.25">
      <c r="A883" s="24"/>
      <c r="B883" s="24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4.25">
      <c r="A884" s="24"/>
      <c r="B884" s="24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4.25">
      <c r="A885" s="24"/>
      <c r="B885" s="24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4.25">
      <c r="A886" s="24"/>
      <c r="B886" s="24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4.25">
      <c r="A887" s="24"/>
      <c r="B887" s="24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4.25">
      <c r="A888" s="24"/>
      <c r="B888" s="24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4.25">
      <c r="A889" s="24"/>
      <c r="B889" s="24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4.25">
      <c r="A890" s="24"/>
      <c r="B890" s="24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4.25">
      <c r="A891" s="24"/>
      <c r="B891" s="24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4.25">
      <c r="A892" s="24"/>
      <c r="B892" s="24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4.25">
      <c r="A893" s="24"/>
      <c r="B893" s="24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4.25">
      <c r="A894" s="24"/>
      <c r="B894" s="24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4.25">
      <c r="A895" s="24"/>
      <c r="B895" s="24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4.25">
      <c r="A896" s="24"/>
      <c r="B896" s="24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4.25">
      <c r="A897" s="24"/>
      <c r="B897" s="24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4.25">
      <c r="A898" s="24"/>
      <c r="B898" s="24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4.25">
      <c r="A899" s="24"/>
      <c r="B899" s="24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4.25">
      <c r="A900" s="24"/>
      <c r="B900" s="24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4.25">
      <c r="A901" s="24"/>
      <c r="B901" s="24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4.25">
      <c r="A902" s="24"/>
      <c r="B902" s="24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4.25">
      <c r="A903" s="24"/>
      <c r="B903" s="24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4.25">
      <c r="A904" s="24"/>
      <c r="B904" s="24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4.25">
      <c r="A905" s="24"/>
      <c r="B905" s="24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4.25">
      <c r="A906" s="24"/>
      <c r="B906" s="24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4.25">
      <c r="A907" s="24"/>
      <c r="B907" s="24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4.25">
      <c r="A908" s="24"/>
      <c r="B908" s="24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4.25">
      <c r="A909" s="24"/>
      <c r="B909" s="24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4.25">
      <c r="A910" s="24"/>
      <c r="B910" s="24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4.25">
      <c r="A911" s="24"/>
      <c r="B911" s="24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4.25">
      <c r="A912" s="24"/>
      <c r="B912" s="24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4.25">
      <c r="A913" s="24"/>
      <c r="B913" s="24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4.25">
      <c r="A914" s="24"/>
      <c r="B914" s="24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4.25">
      <c r="A915" s="24"/>
      <c r="B915" s="24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4.25">
      <c r="A916" s="24"/>
      <c r="B916" s="24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4.25">
      <c r="A917" s="24"/>
      <c r="B917" s="24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4.25">
      <c r="A918" s="24"/>
      <c r="B918" s="24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4.25">
      <c r="A919" s="24"/>
      <c r="B919" s="24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4.25">
      <c r="A920" s="24"/>
      <c r="B920" s="24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4.25">
      <c r="A921" s="24"/>
      <c r="B921" s="24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4.25">
      <c r="A922" s="24"/>
      <c r="B922" s="24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4.25">
      <c r="A923" s="24"/>
      <c r="B923" s="24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4.25">
      <c r="A924" s="24"/>
      <c r="B924" s="24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4.25">
      <c r="A925" s="24"/>
      <c r="B925" s="24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4.25">
      <c r="A926" s="24"/>
      <c r="B926" s="24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4.25">
      <c r="A927" s="24"/>
      <c r="B927" s="24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4.25">
      <c r="A928" s="24"/>
      <c r="B928" s="24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4.25">
      <c r="A929" s="24"/>
      <c r="B929" s="24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4.25">
      <c r="A930" s="24"/>
      <c r="B930" s="24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4.25">
      <c r="A931" s="24"/>
      <c r="B931" s="24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4.25">
      <c r="A932" s="24"/>
      <c r="B932" s="24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4.25">
      <c r="A933" s="24"/>
      <c r="B933" s="24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4.25">
      <c r="A934" s="24"/>
      <c r="B934" s="24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4.25">
      <c r="A935" s="24"/>
      <c r="B935" s="24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4.25">
      <c r="A936" s="24"/>
      <c r="B936" s="24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4.25">
      <c r="A937" s="24"/>
      <c r="B937" s="24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4.25">
      <c r="A938" s="24"/>
      <c r="B938" s="24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4.25">
      <c r="A939" s="24"/>
      <c r="B939" s="24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4.25">
      <c r="A940" s="24"/>
      <c r="B940" s="24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4.25">
      <c r="A941" s="24"/>
      <c r="B941" s="24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4.25">
      <c r="A942" s="24"/>
      <c r="B942" s="24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4.25">
      <c r="A943" s="24"/>
      <c r="B943" s="24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4.25">
      <c r="A944" s="24"/>
      <c r="B944" s="24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4.25">
      <c r="A945" s="24"/>
      <c r="B945" s="24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4.25">
      <c r="A946" s="24"/>
      <c r="B946" s="24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4.25">
      <c r="A947" s="24"/>
      <c r="B947" s="24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4.25">
      <c r="A948" s="24"/>
      <c r="B948" s="24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4.25">
      <c r="A949" s="24"/>
      <c r="B949" s="24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4.25">
      <c r="A950" s="24"/>
      <c r="B950" s="24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4.25">
      <c r="A951" s="24"/>
      <c r="B951" s="24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4.25">
      <c r="A952" s="24"/>
      <c r="B952" s="24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4.25">
      <c r="A953" s="24"/>
      <c r="B953" s="24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4.25">
      <c r="A954" s="24"/>
      <c r="B954" s="24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4.25">
      <c r="A955" s="24"/>
      <c r="B955" s="24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4.25">
      <c r="A956" s="24"/>
      <c r="B956" s="24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4.25">
      <c r="A957" s="24"/>
      <c r="B957" s="24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4.25">
      <c r="A958" s="24"/>
      <c r="B958" s="24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4.25">
      <c r="A959" s="24"/>
      <c r="B959" s="24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4.25">
      <c r="A960" s="24"/>
      <c r="B960" s="24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4.25">
      <c r="A961" s="24"/>
      <c r="B961" s="24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4.25">
      <c r="A962" s="24"/>
      <c r="B962" s="24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4.25">
      <c r="A963" s="24"/>
      <c r="B963" s="24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4.25">
      <c r="A964" s="24"/>
      <c r="B964" s="24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4.25">
      <c r="A965" s="24"/>
      <c r="B965" s="24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4.25">
      <c r="A966" s="24"/>
      <c r="B966" s="24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4.25">
      <c r="A967" s="24"/>
      <c r="B967" s="24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4.25">
      <c r="A968" s="24"/>
      <c r="B968" s="24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4.25">
      <c r="A969" s="24"/>
      <c r="B969" s="24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4.25">
      <c r="A970" s="24"/>
      <c r="B970" s="24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4.25">
      <c r="A971" s="24"/>
      <c r="B971" s="24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4.25">
      <c r="A972" s="24"/>
      <c r="B972" s="24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4.25">
      <c r="A973" s="24"/>
      <c r="B973" s="24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4.25">
      <c r="A974" s="24"/>
      <c r="B974" s="24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4.25">
      <c r="A975" s="24"/>
      <c r="B975" s="24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4.25">
      <c r="A976" s="24"/>
      <c r="B976" s="24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4.25">
      <c r="A977" s="24"/>
      <c r="B977" s="24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4.25">
      <c r="A978" s="24"/>
      <c r="B978" s="24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4.25">
      <c r="A979" s="24"/>
      <c r="B979" s="24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4.25">
      <c r="A980" s="24"/>
      <c r="B980" s="24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4.25">
      <c r="A981" s="24"/>
      <c r="B981" s="24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4.25">
      <c r="A982" s="24"/>
      <c r="B982" s="24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4.25">
      <c r="A983" s="24"/>
      <c r="B983" s="24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4.25">
      <c r="A984" s="24"/>
      <c r="B984" s="24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4.25">
      <c r="A985" s="24"/>
      <c r="B985" s="24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4.25">
      <c r="A986" s="24"/>
      <c r="B986" s="24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4.25">
      <c r="A987" s="24"/>
      <c r="B987" s="24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4.25">
      <c r="A988" s="24"/>
      <c r="B988" s="24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4.25">
      <c r="A989" s="24"/>
      <c r="B989" s="24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4.25">
      <c r="A990" s="24"/>
      <c r="B990" s="24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4.25">
      <c r="A991" s="24"/>
      <c r="B991" s="24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4.25">
      <c r="A992" s="24"/>
      <c r="B992" s="24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4.25">
      <c r="A993" s="24"/>
      <c r="B993" s="24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4.25">
      <c r="A994" s="24"/>
      <c r="B994" s="24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4.25">
      <c r="A995" s="24"/>
      <c r="B995" s="24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</sheetData>
  <mergeCells count="7">
    <mergeCell ref="C5:H5"/>
    <mergeCell ref="J5:L5"/>
    <mergeCell ref="A1:H1"/>
    <mergeCell ref="G2:H2"/>
    <mergeCell ref="A3:B3"/>
    <mergeCell ref="H3:H4"/>
    <mergeCell ref="A4:B4"/>
  </mergeCells>
  <phoneticPr fontId="15" type="noConversion"/>
  <conditionalFormatting sqref="H6:H95">
    <cfRule type="colorScale" priority="1">
      <colorScale>
        <cfvo type="min"/>
        <cfvo type="max"/>
        <color rgb="FFFFFFFF"/>
        <color rgb="FFFFD666"/>
      </colorScale>
    </cfRule>
  </conditionalFormatting>
  <dataValidations count="1">
    <dataValidation type="list" allowBlank="1" showErrorMessage="1" sqref="G2" xr:uid="{00000000-0002-0000-0000-000000000000}">
      <formula1>"王立仁老師,莊宗嚴老師,楊宗榮老師,林建毅老師,林穎俊老師,魏秀玲老師,施春輝老師"</formula1>
    </dataValidation>
  </dataValidations>
  <hyperlinks>
    <hyperlink ref="B6" r:id="rId1" xr:uid="{00000000-0004-0000-0000-000000000000}"/>
    <hyperlink ref="B7" r:id="rId2" xr:uid="{00000000-0004-0000-0000-000001000000}"/>
    <hyperlink ref="B8" r:id="rId3" xr:uid="{00000000-0004-0000-0000-000002000000}"/>
    <hyperlink ref="B9" r:id="rId4" xr:uid="{00000000-0004-0000-0000-000003000000}"/>
    <hyperlink ref="B10" r:id="rId5" xr:uid="{00000000-0004-0000-0000-000004000000}"/>
    <hyperlink ref="B11" r:id="rId6" xr:uid="{00000000-0004-0000-0000-000005000000}"/>
    <hyperlink ref="B12" r:id="rId7" xr:uid="{00000000-0004-0000-0000-000006000000}"/>
    <hyperlink ref="B13" r:id="rId8" xr:uid="{00000000-0004-0000-0000-000007000000}"/>
    <hyperlink ref="B14" r:id="rId9" xr:uid="{00000000-0004-0000-0000-000008000000}"/>
    <hyperlink ref="B15" r:id="rId10" xr:uid="{00000000-0004-0000-0000-000009000000}"/>
    <hyperlink ref="B16" r:id="rId11" xr:uid="{00000000-0004-0000-0000-00000A000000}"/>
    <hyperlink ref="B17" r:id="rId12" xr:uid="{00000000-0004-0000-0000-00000B000000}"/>
    <hyperlink ref="B18" r:id="rId13" xr:uid="{00000000-0004-0000-0000-00000C000000}"/>
    <hyperlink ref="B19" r:id="rId14" xr:uid="{00000000-0004-0000-0000-00000D000000}"/>
    <hyperlink ref="B20" r:id="rId15" xr:uid="{00000000-0004-0000-0000-00000E000000}"/>
    <hyperlink ref="B21" r:id="rId16" xr:uid="{00000000-0004-0000-0000-00000F000000}"/>
    <hyperlink ref="B22" r:id="rId17" xr:uid="{00000000-0004-0000-0000-000010000000}"/>
    <hyperlink ref="B23" r:id="rId18" xr:uid="{00000000-0004-0000-0000-000011000000}"/>
    <hyperlink ref="B24" r:id="rId19" xr:uid="{00000000-0004-0000-0000-000012000000}"/>
    <hyperlink ref="B25" r:id="rId20" xr:uid="{00000000-0004-0000-0000-000013000000}"/>
    <hyperlink ref="B26" r:id="rId21" xr:uid="{00000000-0004-0000-0000-000014000000}"/>
    <hyperlink ref="B27" r:id="rId22" xr:uid="{00000000-0004-0000-0000-000015000000}"/>
    <hyperlink ref="B28" r:id="rId23" xr:uid="{00000000-0004-0000-0000-000016000000}"/>
    <hyperlink ref="B29" r:id="rId24" xr:uid="{00000000-0004-0000-0000-000017000000}"/>
    <hyperlink ref="B30" r:id="rId25" xr:uid="{00000000-0004-0000-0000-000018000000}"/>
    <hyperlink ref="B31" r:id="rId26" xr:uid="{00000000-0004-0000-0000-000019000000}"/>
    <hyperlink ref="B32" r:id="rId27" xr:uid="{00000000-0004-0000-0000-00001A000000}"/>
    <hyperlink ref="B33" r:id="rId28" xr:uid="{00000000-0004-0000-0000-00001B000000}"/>
    <hyperlink ref="B34" r:id="rId29" xr:uid="{00000000-0004-0000-0000-00001C000000}"/>
    <hyperlink ref="B35" r:id="rId30" xr:uid="{00000000-0004-0000-0000-00001D000000}"/>
    <hyperlink ref="B36" r:id="rId31" xr:uid="{00000000-0004-0000-0000-00001E000000}"/>
    <hyperlink ref="B37" r:id="rId32" xr:uid="{00000000-0004-0000-0000-00001F000000}"/>
    <hyperlink ref="B38" r:id="rId33" xr:uid="{00000000-0004-0000-0000-000020000000}"/>
    <hyperlink ref="B39" r:id="rId34" xr:uid="{00000000-0004-0000-0000-000021000000}"/>
    <hyperlink ref="B40" r:id="rId35" xr:uid="{00000000-0004-0000-0000-000022000000}"/>
    <hyperlink ref="B41" r:id="rId36" xr:uid="{00000000-0004-0000-0000-000023000000}"/>
    <hyperlink ref="B42" r:id="rId37" xr:uid="{00000000-0004-0000-0000-000024000000}"/>
    <hyperlink ref="B43" r:id="rId38" xr:uid="{00000000-0004-0000-0000-000025000000}"/>
    <hyperlink ref="B44" r:id="rId39" xr:uid="{00000000-0004-0000-0000-000026000000}"/>
    <hyperlink ref="B45" r:id="rId40" xr:uid="{00000000-0004-0000-0000-000027000000}"/>
    <hyperlink ref="B46" r:id="rId41" xr:uid="{00000000-0004-0000-0000-000028000000}"/>
    <hyperlink ref="B47" r:id="rId42" xr:uid="{00000000-0004-0000-0000-000029000000}"/>
    <hyperlink ref="B48" r:id="rId43" xr:uid="{00000000-0004-0000-0000-00002A000000}"/>
    <hyperlink ref="B49" r:id="rId44" xr:uid="{00000000-0004-0000-0000-00002B000000}"/>
    <hyperlink ref="B50" r:id="rId45" xr:uid="{00000000-0004-0000-0000-00002C000000}"/>
    <hyperlink ref="B51" r:id="rId46" xr:uid="{00000000-0004-0000-0000-00002D000000}"/>
    <hyperlink ref="B52" r:id="rId47" xr:uid="{00000000-0004-0000-0000-00002E000000}"/>
    <hyperlink ref="B53" r:id="rId48" xr:uid="{00000000-0004-0000-0000-00002F000000}"/>
    <hyperlink ref="B54" r:id="rId49" xr:uid="{00000000-0004-0000-0000-000030000000}"/>
    <hyperlink ref="B55" r:id="rId50" xr:uid="{00000000-0004-0000-0000-000031000000}"/>
    <hyperlink ref="B56" r:id="rId51" xr:uid="{00000000-0004-0000-0000-000032000000}"/>
    <hyperlink ref="B57" r:id="rId52" xr:uid="{00000000-0004-0000-0000-000033000000}"/>
    <hyperlink ref="B58" r:id="rId53" xr:uid="{00000000-0004-0000-0000-000034000000}"/>
    <hyperlink ref="B59" r:id="rId54" xr:uid="{00000000-0004-0000-0000-000035000000}"/>
    <hyperlink ref="B60" r:id="rId55" xr:uid="{00000000-0004-0000-0000-000036000000}"/>
    <hyperlink ref="B61" r:id="rId56" xr:uid="{00000000-0004-0000-0000-000037000000}"/>
    <hyperlink ref="B62" r:id="rId57" xr:uid="{00000000-0004-0000-0000-000038000000}"/>
    <hyperlink ref="B63" r:id="rId58" xr:uid="{00000000-0004-0000-0000-000039000000}"/>
    <hyperlink ref="B64" r:id="rId59" xr:uid="{00000000-0004-0000-0000-00003A000000}"/>
    <hyperlink ref="B65" r:id="rId60" xr:uid="{00000000-0004-0000-0000-00003B000000}"/>
    <hyperlink ref="B66" r:id="rId61" xr:uid="{00000000-0004-0000-0000-00003C000000}"/>
    <hyperlink ref="B67" r:id="rId62" xr:uid="{00000000-0004-0000-0000-00003D000000}"/>
    <hyperlink ref="B68" r:id="rId63" xr:uid="{00000000-0004-0000-0000-00003E000000}"/>
    <hyperlink ref="B69" r:id="rId64" xr:uid="{00000000-0004-0000-0000-00003F000000}"/>
    <hyperlink ref="B70" r:id="rId65" xr:uid="{00000000-0004-0000-0000-000040000000}"/>
    <hyperlink ref="B71" r:id="rId66" xr:uid="{00000000-0004-0000-0000-000041000000}"/>
    <hyperlink ref="B72" r:id="rId67" xr:uid="{00000000-0004-0000-0000-000042000000}"/>
    <hyperlink ref="B73" r:id="rId68" xr:uid="{00000000-0004-0000-0000-000043000000}"/>
    <hyperlink ref="B74" r:id="rId69" xr:uid="{00000000-0004-0000-0000-000044000000}"/>
    <hyperlink ref="B75" r:id="rId70" xr:uid="{00000000-0004-0000-0000-000045000000}"/>
    <hyperlink ref="B76" r:id="rId71" xr:uid="{00000000-0004-0000-0000-000046000000}"/>
    <hyperlink ref="B77" r:id="rId72" xr:uid="{00000000-0004-0000-0000-000047000000}"/>
    <hyperlink ref="B78" r:id="rId73" xr:uid="{00000000-0004-0000-0000-000048000000}"/>
    <hyperlink ref="B79" r:id="rId74" xr:uid="{00000000-0004-0000-0000-000049000000}"/>
    <hyperlink ref="B80" r:id="rId75" xr:uid="{00000000-0004-0000-0000-00004A000000}"/>
    <hyperlink ref="B81" r:id="rId76" xr:uid="{00000000-0004-0000-0000-00004B000000}"/>
    <hyperlink ref="B82" r:id="rId77" xr:uid="{00000000-0004-0000-0000-00004C000000}"/>
    <hyperlink ref="B83" r:id="rId78" xr:uid="{00000000-0004-0000-0000-00004D000000}"/>
    <hyperlink ref="B84" r:id="rId79" xr:uid="{00000000-0004-0000-0000-00004E000000}"/>
    <hyperlink ref="B85" r:id="rId80" xr:uid="{00000000-0004-0000-0000-00004F000000}"/>
    <hyperlink ref="B86" r:id="rId81" xr:uid="{00000000-0004-0000-0000-000050000000}"/>
    <hyperlink ref="B87" r:id="rId82" xr:uid="{00000000-0004-0000-0000-000051000000}"/>
    <hyperlink ref="B88" r:id="rId83" xr:uid="{00000000-0004-0000-0000-000052000000}"/>
    <hyperlink ref="B89" r:id="rId84" xr:uid="{00000000-0004-0000-0000-000053000000}"/>
    <hyperlink ref="B90" r:id="rId85" xr:uid="{00000000-0004-0000-0000-000054000000}"/>
    <hyperlink ref="B91" r:id="rId86" xr:uid="{00000000-0004-0000-0000-000055000000}"/>
    <hyperlink ref="B92" r:id="rId87" xr:uid="{00000000-0004-0000-0000-000056000000}"/>
    <hyperlink ref="B93" r:id="rId88" xr:uid="{00000000-0004-0000-0000-000057000000}"/>
    <hyperlink ref="B94" r:id="rId89" xr:uid="{00000000-0004-0000-0000-000058000000}"/>
    <hyperlink ref="B95" r:id="rId90" xr:uid="{00000000-0004-0000-0000-000059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9900"/>
    <outlinePr summaryBelow="0" summaryRight="0"/>
  </sheetPr>
  <dimension ref="A1:Z1000"/>
  <sheetViews>
    <sheetView workbookViewId="0"/>
  </sheetViews>
  <sheetFormatPr defaultColWidth="12.5703125" defaultRowHeight="15.75" customHeight="1"/>
  <cols>
    <col min="1" max="1" width="29" customWidth="1"/>
    <col min="2" max="2" width="5" customWidth="1"/>
    <col min="3" max="3" width="81.5703125" customWidth="1"/>
    <col min="4" max="26" width="12.5703125" customWidth="1"/>
  </cols>
  <sheetData>
    <row r="1" spans="1:26" ht="33">
      <c r="A1" s="25" t="s">
        <v>3</v>
      </c>
      <c r="B1" s="25" t="s">
        <v>86</v>
      </c>
      <c r="C1" s="25" t="s">
        <v>87</v>
      </c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spans="1:26" ht="33">
      <c r="A2" s="27" t="s">
        <v>4</v>
      </c>
      <c r="B2" s="28">
        <v>0.2</v>
      </c>
      <c r="C2" s="27" t="s">
        <v>88</v>
      </c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spans="1:26" ht="49.5">
      <c r="A3" s="27" t="s">
        <v>5</v>
      </c>
      <c r="B3" s="28">
        <v>0.2</v>
      </c>
      <c r="C3" s="27" t="s">
        <v>89</v>
      </c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6.5">
      <c r="A4" s="27" t="s">
        <v>6</v>
      </c>
      <c r="B4" s="29">
        <v>0.2</v>
      </c>
      <c r="C4" s="27" t="s">
        <v>90</v>
      </c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spans="1:26" ht="33">
      <c r="A5" s="30" t="s">
        <v>7</v>
      </c>
      <c r="B5" s="28">
        <v>0.2</v>
      </c>
      <c r="C5" s="30" t="s">
        <v>91</v>
      </c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spans="1:26" ht="33">
      <c r="A6" s="27" t="s">
        <v>8</v>
      </c>
      <c r="B6" s="28">
        <v>0.2</v>
      </c>
      <c r="C6" s="30" t="s">
        <v>92</v>
      </c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spans="1:26" ht="16.5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15.75" customHeight="1">
      <c r="A8" s="31" t="s">
        <v>93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6.5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6.5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6.5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6.5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6.5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6.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6.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6.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6.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6.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6.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6.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6.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6.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6.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6.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6.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6.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6.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6.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6.5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6.5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6.5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6.5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6" ht="16.5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6" ht="16.5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spans="1:26" ht="16.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spans="1:26" ht="16.5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spans="1:26" ht="16.5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spans="1:26" ht="16.5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spans="1:26" ht="16.5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spans="1:26" ht="16.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spans="1:26" ht="16.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spans="1:26" ht="16.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spans="1:26" ht="16.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spans="1:26" ht="16.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spans="1:26" ht="16.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spans="1:26" ht="16.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spans="1:26" ht="16.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spans="1:26" ht="16.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spans="1:26" ht="16.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spans="1:26" ht="16.5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spans="1:26" ht="16.5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ht="16.5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ht="16.5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ht="16.5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spans="1:26" ht="16.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spans="1:26" ht="16.5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spans="1:26" ht="16.5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spans="1:26" ht="16.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spans="1:26" ht="16.5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spans="1:26" ht="16.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spans="1:26" ht="16.5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spans="1:26" ht="16.5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spans="1:26" ht="16.5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spans="1:26" ht="16.5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spans="1:26" ht="16.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spans="1:26" ht="16.5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 ht="16.5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 ht="16.5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 ht="16.5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spans="1:26" ht="16.5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spans="1:26" ht="16.5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spans="1:26" ht="16.5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spans="1:26" ht="16.5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spans="1:26" ht="16.5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spans="1:26" ht="16.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spans="1:26" ht="16.5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spans="1:26" ht="16.5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spans="1:26" ht="16.5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spans="1:26" ht="16.5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spans="1:26" ht="16.5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spans="1:26" ht="16.5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spans="1:26" ht="16.5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spans="1:26" ht="16.5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spans="1:26" ht="16.5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spans="1:26" ht="16.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spans="1:26" ht="16.5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spans="1:26" ht="16.5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spans="1:26" ht="16.5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spans="1:26" ht="16.5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spans="1:26" ht="16.5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spans="1:26" ht="16.5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spans="1:26" ht="16.5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spans="1:26" ht="16.5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spans="1:26" ht="16.5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spans="1:26" ht="16.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spans="1:26" ht="16.5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spans="1:26" ht="16.5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spans="1:26" ht="16.5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spans="1:26" ht="16.5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spans="1:26" ht="16.5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spans="1:26" ht="16.5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spans="1:26" ht="16.5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spans="1:26" ht="16.5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spans="1:26" ht="16.5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spans="1:26" ht="16.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spans="1:26" ht="16.5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spans="1:26" ht="16.5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spans="1:26" ht="16.5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spans="1:26" ht="16.5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spans="1:26" ht="16.5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spans="1:26" ht="16.5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spans="1:26" ht="16.5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spans="1:26" ht="16.5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spans="1:26" ht="16.5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spans="1:26" ht="16.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spans="1:26" ht="16.5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spans="1:26" ht="16.5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spans="1:26" ht="16.5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spans="1:26" ht="16.5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spans="1:26" ht="16.5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spans="1:26" ht="16.5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spans="1:26" ht="16.5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spans="1:26" ht="16.5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spans="1:26" ht="16.5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spans="1:26" ht="16.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spans="1:26" ht="16.5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spans="1:26" ht="16.5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spans="1:26" ht="16.5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spans="1:26" ht="16.5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spans="1:26" ht="16.5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spans="1:26" ht="16.5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spans="1:26" ht="16.5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spans="1:26" ht="16.5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spans="1:26" ht="16.5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spans="1:26" ht="16.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spans="1:26" ht="16.5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spans="1:26" ht="16.5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spans="1:26" ht="16.5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spans="1:26" ht="16.5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spans="1:26" ht="16.5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spans="1:26" ht="16.5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spans="1:26" ht="16.5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spans="1:26" ht="16.5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spans="1:26" ht="16.5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spans="1:26" ht="16.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spans="1:26" ht="16.5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spans="1:26" ht="16.5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spans="1:26" ht="16.5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spans="1:26" ht="16.5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spans="1:26" ht="16.5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spans="1:26" ht="16.5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spans="1:26" ht="16.5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spans="1:26" ht="16.5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spans="1:26" ht="16.5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spans="1:26" ht="16.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spans="1:26" ht="16.5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spans="1:26" ht="16.5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spans="1:26" ht="16.5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spans="1:26" ht="16.5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spans="1:26" ht="16.5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spans="1:26" ht="16.5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spans="1:26" ht="16.5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spans="1:26" ht="16.5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spans="1:26" ht="16.5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spans="1:26" ht="16.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spans="1:26" ht="16.5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spans="1:26" ht="16.5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spans="1:26" ht="16.5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spans="1:26" ht="16.5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spans="1:26" ht="16.5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spans="1:26" ht="16.5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spans="1:26" ht="16.5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spans="1:26" ht="16.5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spans="1:26" ht="16.5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spans="1:26" ht="16.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spans="1:26" ht="16.5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spans="1:26" ht="16.5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spans="1:26" ht="16.5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spans="1:26" ht="16.5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spans="1:26" ht="16.5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spans="1:26" ht="16.5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spans="1:26" ht="16.5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spans="1:26" ht="16.5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spans="1:26" ht="16.5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spans="1:26" ht="16.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spans="1:26" ht="16.5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spans="1:26" ht="16.5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spans="1:26" ht="16.5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spans="1:26" ht="16.5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spans="1:26" ht="16.5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spans="1:26" ht="16.5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spans="1:26" ht="16.5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spans="1:26" ht="16.5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spans="1:26" ht="16.5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spans="1:26" ht="16.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spans="1:26" ht="16.5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spans="1:26" ht="16.5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spans="1:26" ht="16.5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spans="1:26" ht="16.5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spans="1:26" ht="16.5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spans="1:26" ht="16.5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spans="1:26" ht="16.5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spans="1:26" ht="16.5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spans="1:26" ht="16.5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spans="1:26" ht="16.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spans="1:26" ht="16.5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spans="1:26" ht="16.5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spans="1:26" ht="16.5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spans="1:26" ht="16.5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spans="1:26" ht="16.5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spans="1:26" ht="16.5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spans="1:26" ht="16.5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spans="1:26" ht="16.5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spans="1:26" ht="16.5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spans="1:26" ht="16.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spans="1:26" ht="16.5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spans="1:26" ht="16.5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spans="1:26" ht="16.5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spans="1:26" ht="16.5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spans="1:26" ht="16.5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spans="1:26" ht="16.5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spans="1:26" ht="16.5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spans="1:26" ht="16.5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spans="1:26" ht="16.5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spans="1:26" ht="16.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spans="1:26" ht="16.5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spans="1:26" ht="16.5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spans="1:26" ht="16.5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spans="1:26" ht="16.5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spans="1:26" ht="16.5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spans="1:26" ht="16.5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spans="1:26" ht="16.5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spans="1:26" ht="16.5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spans="1:26" ht="16.5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spans="1:26" ht="16.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spans="1:26" ht="16.5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spans="1:26" ht="16.5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spans="1:26" ht="16.5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spans="1:26" ht="16.5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spans="1:26" ht="16.5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spans="1:26" ht="16.5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spans="1:26" ht="16.5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spans="1:26" ht="16.5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spans="1:26" ht="16.5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spans="1:26" ht="16.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spans="1:26" ht="16.5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spans="1:26" ht="16.5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spans="1:26" ht="16.5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spans="1:26" ht="16.5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spans="1:26" ht="16.5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spans="1:26" ht="16.5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spans="1:26" ht="16.5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spans="1:26" ht="16.5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spans="1:26" ht="16.5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spans="1:26" ht="16.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spans="1:26" ht="16.5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spans="1:26" ht="16.5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spans="1:26" ht="16.5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spans="1:26" ht="16.5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spans="1:26" ht="16.5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spans="1:26" ht="16.5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spans="1:26" ht="16.5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spans="1:26" ht="16.5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spans="1:26" ht="16.5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spans="1:26" ht="16.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spans="1:26" ht="16.5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spans="1:26" ht="16.5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spans="1:26" ht="16.5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spans="1:26" ht="16.5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spans="1:26" ht="16.5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spans="1:26" ht="16.5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spans="1:26" ht="16.5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spans="1:26" ht="16.5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spans="1:26" ht="16.5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spans="1:26" ht="16.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spans="1:26" ht="16.5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spans="1:26" ht="16.5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spans="1:26" ht="16.5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spans="1:26" ht="16.5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spans="1:26" ht="16.5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spans="1:26" ht="16.5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spans="1:26" ht="16.5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spans="1:26" ht="16.5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spans="1:26" ht="16.5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spans="1:26" ht="16.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spans="1:26" ht="16.5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spans="1:26" ht="16.5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spans="1:26" ht="16.5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spans="1:26" ht="16.5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spans="1:26" ht="16.5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spans="1:26" ht="16.5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spans="1:26" ht="16.5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spans="1:26" ht="16.5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spans="1:26" ht="16.5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spans="1:26" ht="16.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spans="1:26" ht="16.5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spans="1:26" ht="16.5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spans="1:26" ht="16.5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spans="1:26" ht="16.5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spans="1:26" ht="16.5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spans="1:26" ht="16.5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spans="1:26" ht="16.5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spans="1:26" ht="16.5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spans="1:26" ht="16.5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spans="1:26" ht="16.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spans="1:26" ht="16.5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spans="1:26" ht="16.5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spans="1:26" ht="16.5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spans="1:26" ht="16.5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spans="1:26" ht="16.5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spans="1:26" ht="16.5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spans="1:26" ht="16.5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spans="1:26" ht="16.5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spans="1:26" ht="16.5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spans="1:26" ht="16.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spans="1:26" ht="16.5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spans="1:26" ht="16.5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spans="1:26" ht="16.5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spans="1:26" ht="16.5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spans="1:26" ht="16.5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spans="1:26" ht="16.5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spans="1:26" ht="16.5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spans="1:26" ht="16.5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spans="1:26" ht="16.5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spans="1:26" ht="16.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spans="1:26" ht="16.5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spans="1:26" ht="16.5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spans="1:26" ht="16.5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spans="1:26" ht="16.5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spans="1:26" ht="16.5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spans="1:26" ht="16.5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spans="1:26" ht="16.5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spans="1:26" ht="16.5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spans="1:26" ht="16.5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spans="1:26" ht="16.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spans="1:26" ht="16.5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spans="1:26" ht="16.5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spans="1:26" ht="16.5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spans="1:26" ht="16.5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spans="1:26" ht="16.5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spans="1:26" ht="16.5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spans="1:26" ht="16.5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spans="1:26" ht="16.5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spans="1:26" ht="16.5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spans="1:26" ht="16.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spans="1:26" ht="16.5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spans="1:26" ht="16.5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spans="1:26" ht="16.5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spans="1:26" ht="16.5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spans="1:26" ht="16.5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spans="1:26" ht="16.5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spans="1:26" ht="16.5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spans="1:26" ht="16.5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spans="1:26" ht="16.5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spans="1:26" ht="16.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spans="1:26" ht="16.5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spans="1:26" ht="16.5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spans="1:26" ht="16.5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spans="1:26" ht="16.5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spans="1:26" ht="16.5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spans="1:26" ht="16.5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spans="1:26" ht="16.5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spans="1:26" ht="16.5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spans="1:26" ht="16.5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spans="1:26" ht="16.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spans="1:26" ht="16.5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spans="1:26" ht="16.5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spans="1:26" ht="16.5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spans="1:26" ht="16.5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spans="1:26" ht="16.5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spans="1:26" ht="16.5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spans="1:26" ht="16.5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spans="1:26" ht="16.5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spans="1:26" ht="16.5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spans="1:26" ht="16.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spans="1:26" ht="16.5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spans="1:26" ht="16.5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spans="1:26" ht="16.5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spans="1:26" ht="16.5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spans="1:26" ht="16.5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spans="1:26" ht="16.5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spans="1:26" ht="16.5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spans="1:26" ht="16.5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spans="1:26" ht="16.5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spans="1:26" ht="16.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spans="1:26" ht="16.5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spans="1:26" ht="16.5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spans="1:26" ht="16.5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spans="1:26" ht="16.5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spans="1:26" ht="16.5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spans="1:26" ht="16.5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spans="1:26" ht="16.5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spans="1:26" ht="16.5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spans="1:26" ht="16.5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spans="1:26" ht="16.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spans="1:26" ht="16.5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spans="1:26" ht="16.5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spans="1:26" ht="16.5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spans="1:26" ht="16.5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spans="1:26" ht="16.5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spans="1:26" ht="16.5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spans="1:26" ht="16.5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spans="1:26" ht="16.5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spans="1:26" ht="16.5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spans="1:26" ht="16.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spans="1:26" ht="16.5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spans="1:26" ht="16.5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spans="1:26" ht="16.5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spans="1:26" ht="16.5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spans="1:26" ht="16.5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spans="1:26" ht="16.5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spans="1:26" ht="16.5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spans="1:26" ht="16.5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spans="1:26" ht="16.5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spans="1:26" ht="16.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spans="1:26" ht="16.5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spans="1:26" ht="16.5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spans="1:26" ht="16.5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spans="1:26" ht="16.5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spans="1:26" ht="16.5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spans="1:26" ht="16.5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spans="1:26" ht="16.5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spans="1:26" ht="16.5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spans="1:26" ht="16.5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spans="1:26" ht="16.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spans="1:26" ht="16.5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spans="1:26" ht="16.5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spans="1:26" ht="16.5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spans="1:26" ht="16.5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spans="1:26" ht="16.5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spans="1:26" ht="16.5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spans="1:26" ht="16.5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spans="1:26" ht="16.5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spans="1:26" ht="16.5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spans="1:26" ht="16.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spans="1:26" ht="16.5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spans="1:26" ht="16.5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spans="1:26" ht="16.5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spans="1:26" ht="16.5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spans="1:26" ht="16.5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spans="1:26" ht="16.5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spans="1:26" ht="16.5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spans="1:26" ht="16.5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spans="1:26" ht="16.5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spans="1:26" ht="16.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spans="1:26" ht="16.5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spans="1:26" ht="16.5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spans="1:26" ht="16.5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spans="1:26" ht="16.5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spans="1:26" ht="16.5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spans="1:26" ht="16.5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spans="1:26" ht="16.5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spans="1:26" ht="16.5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spans="1:26" ht="16.5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spans="1:26" ht="16.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spans="1:26" ht="16.5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spans="1:26" ht="16.5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spans="1:26" ht="16.5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spans="1:26" ht="16.5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spans="1:26" ht="16.5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spans="1:26" ht="16.5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spans="1:26" ht="16.5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spans="1:26" ht="16.5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spans="1:26" ht="16.5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spans="1:26" ht="16.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spans="1:26" ht="16.5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spans="1:26" ht="16.5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spans="1:26" ht="16.5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spans="1:26" ht="16.5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spans="1:26" ht="16.5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spans="1:26" ht="16.5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spans="1:26" ht="16.5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spans="1:26" ht="16.5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spans="1:26" ht="16.5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spans="1:26" ht="16.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spans="1:26" ht="16.5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spans="1:26" ht="16.5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spans="1:26" ht="16.5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spans="1:26" ht="16.5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spans="1:26" ht="16.5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spans="1:26" ht="16.5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spans="1:26" ht="16.5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spans="1:26" ht="16.5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spans="1:26" ht="16.5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spans="1:26" ht="16.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spans="1:26" ht="16.5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spans="1:26" ht="16.5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spans="1:26" ht="16.5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spans="1:26" ht="16.5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spans="1:26" ht="16.5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spans="1:26" ht="16.5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spans="1:26" ht="16.5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spans="1:26" ht="16.5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spans="1:26" ht="16.5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spans="1:26" ht="16.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spans="1:26" ht="16.5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spans="1:26" ht="16.5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spans="1:26" ht="16.5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spans="1:26" ht="16.5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spans="1:26" ht="16.5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spans="1:26" ht="16.5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spans="1:26" ht="16.5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spans="1:26" ht="16.5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spans="1:26" ht="16.5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spans="1:26" ht="16.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spans="1:26" ht="16.5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spans="1:26" ht="16.5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spans="1:26" ht="16.5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spans="1:26" ht="16.5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spans="1:26" ht="16.5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spans="1:26" ht="16.5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spans="1:26" ht="16.5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spans="1:26" ht="16.5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spans="1:26" ht="16.5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spans="1:26" ht="16.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spans="1:26" ht="16.5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spans="1:26" ht="16.5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spans="1:26" ht="16.5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spans="1:26" ht="16.5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spans="1:26" ht="16.5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spans="1:26" ht="16.5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spans="1:26" ht="16.5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spans="1:26" ht="16.5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spans="1:26" ht="16.5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spans="1:26" ht="16.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spans="1:26" ht="16.5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spans="1:26" ht="16.5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spans="1:26" ht="16.5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spans="1:26" ht="16.5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spans="1:26" ht="16.5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spans="1:26" ht="16.5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spans="1:26" ht="16.5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spans="1:26" ht="16.5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spans="1:26" ht="16.5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spans="1:26" ht="16.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spans="1:26" ht="16.5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spans="1:26" ht="16.5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spans="1:26" ht="16.5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spans="1:26" ht="16.5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spans="1:26" ht="16.5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spans="1:26" ht="16.5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spans="1:26" ht="16.5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spans="1:26" ht="16.5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spans="1:26" ht="16.5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spans="1:26" ht="16.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spans="1:26" ht="16.5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spans="1:26" ht="16.5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spans="1:26" ht="16.5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spans="1:26" ht="16.5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spans="1:26" ht="16.5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spans="1:26" ht="16.5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spans="1:26" ht="16.5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spans="1:26" ht="16.5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spans="1:26" ht="16.5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spans="1:26" ht="16.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spans="1:26" ht="16.5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spans="1:26" ht="16.5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spans="1:26" ht="16.5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spans="1:26" ht="16.5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spans="1:26" ht="16.5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spans="1:26" ht="16.5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spans="1:26" ht="16.5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spans="1:26" ht="16.5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spans="1:26" ht="16.5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spans="1:26" ht="16.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spans="1:26" ht="16.5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spans="1:26" ht="16.5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spans="1:26" ht="16.5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spans="1:26" ht="16.5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spans="1:26" ht="16.5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spans="1:26" ht="16.5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spans="1:26" ht="16.5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spans="1:26" ht="16.5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spans="1:26" ht="16.5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spans="1:26" ht="16.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spans="1:26" ht="16.5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spans="1:26" ht="16.5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spans="1:26" ht="16.5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spans="1:26" ht="16.5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spans="1:26" ht="16.5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spans="1:26" ht="16.5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spans="1:26" ht="16.5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spans="1:26" ht="16.5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spans="1:26" ht="16.5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spans="1:26" ht="16.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spans="1:26" ht="16.5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spans="1:26" ht="16.5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spans="1:26" ht="16.5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spans="1:26" ht="16.5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spans="1:26" ht="16.5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spans="1:26" ht="16.5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spans="1:26" ht="16.5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spans="1:26" ht="16.5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spans="1:26" ht="16.5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spans="1:26" ht="16.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spans="1:26" ht="16.5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spans="1:26" ht="16.5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spans="1:26" ht="16.5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spans="1:26" ht="16.5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spans="1:26" ht="16.5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spans="1:26" ht="16.5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spans="1:26" ht="16.5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spans="1:26" ht="16.5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spans="1:26" ht="16.5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spans="1:26" ht="16.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spans="1:26" ht="16.5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spans="1:26" ht="16.5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spans="1:26" ht="16.5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spans="1:26" ht="16.5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spans="1:26" ht="16.5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spans="1:26" ht="16.5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spans="1:26" ht="16.5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spans="1:26" ht="16.5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spans="1:26" ht="16.5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spans="1:26" ht="16.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spans="1:26" ht="16.5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spans="1:26" ht="16.5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spans="1:26" ht="16.5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spans="1:26" ht="16.5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spans="1:26" ht="16.5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spans="1:26" ht="16.5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spans="1:26" ht="16.5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spans="1:26" ht="16.5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spans="1:26" ht="16.5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spans="1:26" ht="16.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spans="1:26" ht="16.5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spans="1:26" ht="16.5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spans="1:26" ht="16.5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spans="1:26" ht="16.5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spans="1:26" ht="16.5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spans="1:26" ht="16.5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spans="1:26" ht="16.5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spans="1:26" ht="16.5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spans="1:26" ht="16.5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spans="1:26" ht="16.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spans="1:26" ht="16.5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spans="1:26" ht="16.5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spans="1:26" ht="16.5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spans="1:26" ht="16.5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spans="1:26" ht="16.5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spans="1:26" ht="16.5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spans="1:26" ht="16.5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spans="1:26" ht="16.5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spans="1:26" ht="16.5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spans="1:26" ht="16.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spans="1:26" ht="16.5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spans="1:26" ht="16.5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spans="1:26" ht="16.5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spans="1:26" ht="16.5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spans="1:26" ht="16.5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spans="1:26" ht="16.5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spans="1:26" ht="16.5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spans="1:26" ht="16.5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spans="1:26" ht="16.5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spans="1:26" ht="16.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spans="1:26" ht="16.5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spans="1:26" ht="16.5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spans="1:26" ht="16.5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spans="1:26" ht="16.5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spans="1:26" ht="16.5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spans="1:26" ht="16.5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spans="1:26" ht="16.5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spans="1:26" ht="16.5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spans="1:26" ht="16.5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spans="1:26" ht="16.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spans="1:26" ht="16.5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spans="1:26" ht="16.5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spans="1:26" ht="16.5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spans="1:26" ht="16.5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spans="1:26" ht="16.5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spans="1:26" ht="16.5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spans="1:26" ht="16.5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spans="1:26" ht="16.5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spans="1:26" ht="16.5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spans="1:26" ht="16.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spans="1:26" ht="16.5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spans="1:26" ht="16.5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spans="1:26" ht="16.5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spans="1:26" ht="16.5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spans="1:26" ht="16.5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spans="1:26" ht="16.5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spans="1:26" ht="16.5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spans="1:26" ht="16.5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spans="1:26" ht="16.5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spans="1:26" ht="16.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spans="1:26" ht="16.5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spans="1:26" ht="16.5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spans="1:26" ht="16.5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spans="1:26" ht="16.5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spans="1:26" ht="16.5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spans="1:26" ht="16.5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spans="1:26" ht="16.5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spans="1:26" ht="16.5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spans="1:26" ht="16.5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spans="1:26" ht="16.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spans="1:26" ht="16.5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spans="1:26" ht="16.5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spans="1:26" ht="16.5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spans="1:26" ht="16.5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spans="1:26" ht="16.5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spans="1:26" ht="16.5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spans="1:26" ht="16.5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spans="1:26" ht="16.5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spans="1:26" ht="16.5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spans="1:26" ht="16.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spans="1:26" ht="16.5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spans="1:26" ht="16.5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spans="1:26" ht="16.5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spans="1:26" ht="16.5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spans="1:26" ht="16.5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spans="1:26" ht="16.5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spans="1:26" ht="16.5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spans="1:26" ht="16.5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spans="1:26" ht="16.5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spans="1:26" ht="16.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spans="1:26" ht="16.5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spans="1:26" ht="16.5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spans="1:26" ht="16.5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spans="1:26" ht="16.5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spans="1:26" ht="16.5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spans="1:26" ht="16.5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spans="1:26" ht="16.5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spans="1:26" ht="16.5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spans="1:26" ht="16.5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spans="1:26" ht="16.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spans="1:26" ht="16.5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spans="1:26" ht="16.5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spans="1:26" ht="16.5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spans="1:26" ht="16.5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spans="1:26" ht="16.5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spans="1:26" ht="16.5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spans="1:26" ht="16.5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spans="1:26" ht="16.5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spans="1:26" ht="16.5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spans="1:26" ht="16.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spans="1:26" ht="16.5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spans="1:26" ht="16.5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spans="1:26" ht="16.5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spans="1:26" ht="16.5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spans="1:26" ht="16.5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spans="1:26" ht="16.5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spans="1:26" ht="16.5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spans="1:26" ht="16.5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spans="1:26" ht="16.5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spans="1:26" ht="16.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spans="1:26" ht="16.5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spans="1:26" ht="16.5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spans="1:26" ht="16.5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spans="1:26" ht="16.5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spans="1:26" ht="16.5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spans="1:26" ht="16.5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spans="1:26" ht="16.5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spans="1:26" ht="16.5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spans="1:26" ht="16.5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spans="1:26" ht="16.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spans="1:26" ht="16.5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spans="1:26" ht="16.5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spans="1:26" ht="16.5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spans="1:26" ht="16.5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spans="1:26" ht="16.5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spans="1:26" ht="16.5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spans="1:26" ht="16.5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spans="1:26" ht="16.5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spans="1:26" ht="16.5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spans="1:26" ht="16.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spans="1:26" ht="16.5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spans="1:26" ht="16.5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spans="1:26" ht="16.5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spans="1:26" ht="16.5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spans="1:26" ht="16.5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spans="1:26" ht="16.5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spans="1:26" ht="16.5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spans="1:26" ht="16.5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spans="1:26" ht="16.5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spans="1:26" ht="16.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spans="1:26" ht="16.5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spans="1:26" ht="16.5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spans="1:26" ht="16.5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spans="1:26" ht="16.5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spans="1:26" ht="16.5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spans="1:26" ht="16.5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spans="1:26" ht="16.5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spans="1:26" ht="16.5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spans="1:26" ht="16.5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spans="1:26" ht="16.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spans="1:26" ht="16.5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spans="1:26" ht="16.5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spans="1:26" ht="16.5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spans="1:26" ht="16.5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spans="1:26" ht="16.5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spans="1:26" ht="16.5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spans="1:26" ht="16.5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spans="1:26" ht="16.5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spans="1:26" ht="16.5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spans="1:26" ht="16.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spans="1:26" ht="16.5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spans="1:26" ht="16.5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spans="1:26" ht="16.5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spans="1:26" ht="16.5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spans="1:26" ht="16.5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spans="1:26" ht="16.5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spans="1:26" ht="16.5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spans="1:26" ht="16.5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spans="1:26" ht="16.5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spans="1:26" ht="16.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spans="1:26" ht="16.5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spans="1:26" ht="16.5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spans="1:26" ht="16.5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spans="1:26" ht="16.5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spans="1:26" ht="16.5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spans="1:26" ht="16.5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spans="1:26" ht="16.5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spans="1:26" ht="16.5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spans="1:26" ht="16.5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spans="1:26" ht="16.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spans="1:26" ht="16.5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spans="1:26" ht="16.5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spans="1:26" ht="16.5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spans="1:26" ht="16.5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spans="1:26" ht="16.5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spans="1:26" ht="16.5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spans="1:26" ht="16.5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spans="1:26" ht="16.5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spans="1:26" ht="16.5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spans="1:26" ht="16.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spans="1:26" ht="16.5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spans="1:26" ht="16.5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spans="1:26" ht="16.5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spans="1:26" ht="16.5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spans="1:26" ht="16.5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spans="1:26" ht="16.5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spans="1:26" ht="16.5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spans="1:26" ht="16.5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spans="1:26" ht="16.5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spans="1:26" ht="16.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spans="1:26" ht="16.5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spans="1:26" ht="16.5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spans="1:26" ht="16.5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spans="1:26" ht="16.5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spans="1:26" ht="16.5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spans="1:26" ht="16.5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spans="1:26" ht="16.5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spans="1:26" ht="16.5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spans="1:26" ht="16.5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spans="1:26" ht="16.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spans="1:26" ht="16.5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spans="1:26" ht="16.5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spans="1:26" ht="16.5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spans="1:26" ht="16.5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spans="1:26" ht="16.5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spans="1:26" ht="16.5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spans="1:26" ht="16.5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spans="1:26" ht="16.5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spans="1:26" ht="16.5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spans="1:26" ht="16.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spans="1:26" ht="16.5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spans="1:26" ht="16.5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spans="1:26" ht="16.5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spans="1:26" ht="16.5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spans="1:26" ht="16.5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spans="1:26" ht="16.5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spans="1:26" ht="16.5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spans="1:26" ht="16.5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spans="1:26" ht="16.5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spans="1:26" ht="16.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spans="1:26" ht="16.5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spans="1:26" ht="16.5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spans="1:26" ht="16.5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spans="1:26" ht="16.5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spans="1:26" ht="16.5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spans="1:26" ht="16.5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spans="1:26" ht="16.5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spans="1:26" ht="16.5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spans="1:26" ht="16.5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spans="1:26" ht="16.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spans="1:26" ht="16.5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spans="1:26" ht="16.5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spans="1:26" ht="16.5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spans="1:26" ht="16.5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spans="1:26" ht="16.5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spans="1:26" ht="16.5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spans="1:26" ht="16.5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spans="1:26" ht="16.5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spans="1:26" ht="16.5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spans="1:26" ht="16.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spans="1:26" ht="16.5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spans="1:26" ht="16.5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spans="1:26" ht="16.5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spans="1:26" ht="16.5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spans="1:26" ht="16.5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spans="1:26" ht="16.5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spans="1:26" ht="16.5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spans="1:26" ht="16.5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spans="1:26" ht="16.5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spans="1:26" ht="16.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spans="1:26" ht="16.5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spans="1:26" ht="16.5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spans="1:26" ht="16.5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spans="1:26" ht="16.5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spans="1:26" ht="16.5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spans="1:26" ht="16.5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spans="1:26" ht="16.5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spans="1:26" ht="16.5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spans="1:26" ht="16.5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spans="1:26" ht="16.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spans="1:26" ht="16.5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spans="1:26" ht="16.5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spans="1:26" ht="16.5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spans="1:26" ht="16.5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spans="1:26" ht="16.5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spans="1:26" ht="16.5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spans="1:26" ht="16.5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spans="1:26" ht="16.5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spans="1:26" ht="16.5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spans="1:26" ht="16.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spans="1:26" ht="16.5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spans="1:26" ht="16.5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spans="1:26" ht="16.5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spans="1:26" ht="16.5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spans="1:26" ht="16.5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spans="1:26" ht="16.5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spans="1:26" ht="16.5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spans="1:26" ht="16.5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spans="1:26" ht="16.5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spans="1:26" ht="16.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spans="1:26" ht="16.5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spans="1:26" ht="16.5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spans="1:26" ht="16.5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spans="1:26" ht="16.5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spans="1:26" ht="16.5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spans="1:26" ht="16.5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spans="1:26" ht="16.5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spans="1:26" ht="16.5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spans="1:26" ht="16.5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spans="1:26" ht="16.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spans="1:26" ht="16.5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spans="1:26" ht="16.5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spans="1:26" ht="16.5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spans="1:26" ht="16.5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spans="1:26" ht="16.5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spans="1:26" ht="16.5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spans="1:26" ht="16.5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spans="1:26" ht="16.5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spans="1:26" ht="16.5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spans="1:26" ht="16.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spans="1:26" ht="16.5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spans="1:26" ht="16.5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spans="1:26" ht="16.5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spans="1:26" ht="16.5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spans="1:26" ht="16.5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spans="1:26" ht="16.5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spans="1:26" ht="16.5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spans="1:26" ht="16.5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spans="1:26" ht="16.5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spans="1:26" ht="16.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spans="1:26" ht="16.5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spans="1:26" ht="16.5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spans="1:26" ht="16.5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spans="1:26" ht="16.5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spans="1:26" ht="16.5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spans="1:26" ht="16.5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spans="1:26" ht="16.5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spans="1:26" ht="16.5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spans="1:26" ht="16.5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spans="1:26" ht="16.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spans="1:26" ht="16.5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spans="1:26" ht="16.5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spans="1:26" ht="16.5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spans="1:26" ht="16.5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spans="1:26" ht="16.5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spans="1:26" ht="16.5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spans="1:26" ht="16.5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spans="1:26" ht="16.5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spans="1:26" ht="16.5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spans="1:26" ht="16.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spans="1:26" ht="16.5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spans="1:26" ht="16.5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spans="1:26" ht="16.5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spans="1:26" ht="16.5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spans="1:26" ht="16.5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spans="1:26" ht="16.5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spans="1:26" ht="16.5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spans="1:26" ht="16.5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spans="1:26" ht="16.5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spans="1:26" ht="16.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spans="1:26" ht="16.5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spans="1:26" ht="16.5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spans="1:26" ht="16.5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spans="1:26" ht="16.5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spans="1:26" ht="16.5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 spans="1:26" ht="16.5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 spans="1:26" ht="16.5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 spans="1:26" ht="16.5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 spans="1:26" ht="16.5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 spans="1:26" ht="16.5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 spans="1:26" ht="16.5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 spans="1:26" ht="16.5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 spans="1:26" ht="16.5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 spans="1:26" ht="16.5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 spans="1:26" ht="16.5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</sheetData>
  <phoneticPr fontId="1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AA84F"/>
    <outlinePr summaryBelow="0" summaryRight="0"/>
  </sheetPr>
  <dimension ref="A1:Z997"/>
  <sheetViews>
    <sheetView workbookViewId="0"/>
  </sheetViews>
  <sheetFormatPr defaultColWidth="12.5703125" defaultRowHeight="15.75" customHeight="1"/>
  <cols>
    <col min="1" max="1" width="68.7109375" customWidth="1"/>
  </cols>
  <sheetData>
    <row r="1" spans="1:26" ht="15.75" customHeight="1">
      <c r="A1" s="32" t="s">
        <v>94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ht="15.75" customHeight="1">
      <c r="A2" s="33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ht="15.75" customHeight="1">
      <c r="A3" s="33" t="s">
        <v>95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 ht="15.75" customHeight="1">
      <c r="A4" s="33" t="s">
        <v>96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 ht="15.75" customHeight="1">
      <c r="A5" s="33" t="s">
        <v>97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 ht="15.75" customHeight="1">
      <c r="A6" s="33" t="s">
        <v>98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ht="15.75" customHeight="1">
      <c r="A7" s="33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 ht="15.75" customHeight="1">
      <c r="A8" s="33" t="s">
        <v>99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 ht="15.75" customHeight="1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 ht="15.75" customHeight="1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 ht="15.75" customHeight="1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 ht="15.75" customHeight="1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 ht="15.75" customHeight="1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 ht="15.75" customHeight="1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 ht="15.75" customHeight="1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 ht="15.75" customHeight="1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ht="15.75" customHeight="1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ht="15.75" customHeight="1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ht="15.75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ht="15.75" customHeight="1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ht="15.75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ht="15.75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ht="15.75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15.75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5.75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5.75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5.75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15.75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15.75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spans="1:26" ht="15.75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spans="1:26" ht="15.75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spans="1:26" ht="15.75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spans="1:26" ht="15.75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spans="1:26" ht="15.75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1:26" ht="15.75" customHeight="1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 ht="15.75" customHeight="1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spans="1:26" ht="16.5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spans="1:26" ht="16.5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spans="1:26" ht="16.5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spans="1:26" ht="16.5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spans="1:26" ht="16.5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spans="1:26" ht="16.5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spans="1:26" ht="16.5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spans="1:26" ht="16.5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spans="1:26" ht="16.5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spans="1:26" ht="16.5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spans="1:26" ht="16.5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spans="1:26" ht="16.5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spans="1:26" ht="16.5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spans="1:26" ht="16.5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spans="1:26" ht="16.5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spans="1:26" ht="16.5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spans="1:26" ht="16.5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spans="1:26" ht="16.5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spans="1:26" ht="16.5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spans="1:26" ht="16.5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spans="1:26" ht="16.5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spans="1:26" ht="16.5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spans="1:26" ht="16.5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spans="1:26" ht="16.5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spans="1:26" ht="16.5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spans="1:26" ht="16.5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spans="1:26" ht="16.5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spans="1:26" ht="16.5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spans="1:26" ht="16.5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spans="1:26" ht="16.5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spans="1:26" ht="16.5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spans="1:26" ht="16.5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spans="1:26" ht="16.5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spans="1:26" ht="16.5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spans="1:26" ht="16.5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spans="1:26" ht="16.5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spans="1:26" ht="16.5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spans="1:26" ht="16.5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spans="1:26" ht="16.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spans="1:26" ht="16.5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spans="1:26" ht="16.5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spans="1:26" ht="16.5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spans="1:26" ht="16.5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spans="1:26" ht="16.5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spans="1:26" ht="16.5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spans="1:26" ht="16.5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spans="1:26" ht="16.5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spans="1:26" ht="16.5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spans="1:26" ht="16.5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spans="1:26" ht="16.5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spans="1:26" ht="16.5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spans="1:26" ht="16.5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spans="1:26" ht="16.5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spans="1:26" ht="16.5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spans="1:26" ht="16.5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spans="1:26" ht="16.5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spans="1:26" ht="16.5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spans="1:26" ht="16.5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spans="1:26" ht="16.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spans="1:26" ht="16.5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spans="1:26" ht="16.5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spans="1:26" ht="16.5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spans="1:26" ht="16.5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spans="1:26" ht="16.5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spans="1:26" ht="16.5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spans="1:26" ht="16.5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spans="1:26" ht="16.5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spans="1:26" ht="16.5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spans="1:26" ht="16.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spans="1:26" ht="16.5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spans="1:26" ht="16.5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spans="1:26" ht="16.5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spans="1:26" ht="16.5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spans="1:26" ht="16.5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spans="1:26" ht="16.5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spans="1:26" ht="16.5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spans="1:26" ht="16.5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spans="1:26" ht="16.5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spans="1:26" ht="16.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spans="1:26" ht="16.5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spans="1:26" ht="16.5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spans="1:26" ht="16.5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spans="1:26" ht="16.5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spans="1:26" ht="16.5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spans="1:26" ht="16.5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spans="1:26" ht="16.5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spans="1:26" ht="16.5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spans="1:26" ht="16.5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spans="1:26" ht="16.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spans="1:26" ht="16.5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spans="1:26" ht="16.5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spans="1:26" ht="16.5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spans="1:26" ht="16.5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spans="1:26" ht="16.5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spans="1:26" ht="16.5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spans="1:26" ht="16.5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spans="1:26" ht="16.5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spans="1:26" ht="16.5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spans="1:26" ht="16.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spans="1:26" ht="16.5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spans="1:26" ht="16.5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spans="1:26" ht="16.5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spans="1:26" ht="16.5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spans="1:26" ht="16.5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spans="1:26" ht="16.5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spans="1:26" ht="16.5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spans="1:26" ht="16.5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spans="1:26" ht="16.5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spans="1:26" ht="16.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spans="1:26" ht="16.5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spans="1:26" ht="16.5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spans="1:26" ht="16.5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spans="1:26" ht="16.5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spans="1:26" ht="16.5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spans="1:26" ht="16.5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spans="1:26" ht="16.5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spans="1:26" ht="16.5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spans="1:26" ht="16.5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spans="1:26" ht="16.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spans="1:26" ht="16.5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spans="1:26" ht="16.5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spans="1:26" ht="16.5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spans="1:26" ht="16.5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spans="1:26" ht="16.5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spans="1:26" ht="16.5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spans="1:26" ht="16.5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spans="1:26" ht="16.5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spans="1:26" ht="16.5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spans="1:26" ht="16.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spans="1:26" ht="16.5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spans="1:26" ht="16.5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spans="1:26" ht="16.5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spans="1:26" ht="16.5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spans="1:26" ht="16.5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spans="1:26" ht="16.5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spans="1:26" ht="16.5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spans="1:26" ht="16.5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spans="1:26" ht="16.5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spans="1:26" ht="16.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spans="1:26" ht="16.5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spans="1:26" ht="16.5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spans="1:26" ht="16.5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spans="1:26" ht="16.5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spans="1:26" ht="16.5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spans="1:26" ht="16.5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spans="1:26" ht="16.5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spans="1:26" ht="16.5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spans="1:26" ht="16.5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spans="1:26" ht="16.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spans="1:26" ht="16.5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spans="1:26" ht="16.5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spans="1:26" ht="16.5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spans="1:26" ht="16.5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spans="1:26" ht="16.5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spans="1:26" ht="16.5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spans="1:26" ht="16.5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spans="1:26" ht="16.5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spans="1:26" ht="16.5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spans="1:26" ht="16.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spans="1:26" ht="16.5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spans="1:26" ht="16.5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spans="1:26" ht="16.5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spans="1:26" ht="16.5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spans="1:26" ht="16.5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spans="1:26" ht="16.5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spans="1:26" ht="16.5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spans="1:26" ht="16.5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spans="1:26" ht="16.5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spans="1:26" ht="16.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spans="1:26" ht="16.5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spans="1:26" ht="16.5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spans="1:26" ht="16.5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spans="1:26" ht="16.5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spans="1:26" ht="16.5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spans="1:26" ht="16.5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spans="1:26" ht="16.5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spans="1:26" ht="16.5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spans="1:26" ht="16.5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spans="1:26" ht="16.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spans="1:26" ht="16.5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spans="1:26" ht="16.5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spans="1:26" ht="16.5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spans="1:26" ht="16.5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spans="1:26" ht="16.5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spans="1:26" ht="16.5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spans="1:26" ht="16.5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spans="1:26" ht="16.5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spans="1:26" ht="16.5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spans="1:26" ht="16.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spans="1:26" ht="16.5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spans="1:26" ht="16.5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spans="1:26" ht="16.5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spans="1:26" ht="16.5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spans="1:26" ht="16.5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spans="1:26" ht="16.5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spans="1:26" ht="16.5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spans="1:26" ht="16.5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spans="1:26" ht="16.5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spans="1:26" ht="16.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spans="1:26" ht="16.5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spans="1:26" ht="16.5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spans="1:26" ht="16.5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spans="1:26" ht="16.5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spans="1:26" ht="16.5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spans="1:26" ht="16.5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spans="1:26" ht="16.5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spans="1:26" ht="16.5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spans="1:26" ht="16.5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spans="1:26" ht="16.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spans="1:26" ht="16.5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spans="1:26" ht="16.5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spans="1:26" ht="16.5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spans="1:26" ht="16.5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spans="1:26" ht="16.5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spans="1:26" ht="16.5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spans="1:26" ht="16.5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spans="1:26" ht="16.5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spans="1:26" ht="16.5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spans="1:26" ht="16.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spans="1:26" ht="16.5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spans="1:26" ht="16.5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spans="1:26" ht="16.5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spans="1:26" ht="16.5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spans="1:26" ht="16.5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spans="1:26" ht="16.5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spans="1:26" ht="16.5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spans="1:26" ht="16.5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spans="1:26" ht="16.5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spans="1:26" ht="16.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spans="1:26" ht="16.5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spans="1:26" ht="16.5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spans="1:26" ht="16.5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spans="1:26" ht="16.5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spans="1:26" ht="16.5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spans="1:26" ht="16.5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spans="1:26" ht="16.5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spans="1:26" ht="16.5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spans="1:26" ht="16.5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spans="1:26" ht="16.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spans="1:26" ht="16.5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spans="1:26" ht="16.5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spans="1:26" ht="16.5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spans="1:26" ht="16.5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spans="1:26" ht="16.5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spans="1:26" ht="16.5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spans="1:26" ht="16.5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spans="1:26" ht="16.5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spans="1:26" ht="16.5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spans="1:26" ht="16.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spans="1:26" ht="16.5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spans="1:26" ht="16.5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spans="1:26" ht="16.5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spans="1:26" ht="16.5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spans="1:26" ht="16.5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spans="1:26" ht="16.5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spans="1:26" ht="16.5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spans="1:26" ht="16.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spans="1:26" ht="16.5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spans="1:26" ht="16.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spans="1:26" ht="16.5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spans="1:26" ht="16.5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spans="1:26" ht="16.5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spans="1:26" ht="16.5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spans="1:26" ht="16.5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spans="1:26" ht="16.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spans="1:26" ht="16.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spans="1:26" ht="16.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spans="1:26" ht="16.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spans="1:26" ht="16.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spans="1:26" ht="16.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spans="1:26" ht="16.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spans="1:26" ht="16.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spans="1:26" ht="16.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spans="1:26" ht="16.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spans="1:26" ht="16.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spans="1:26" ht="16.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spans="1:26" ht="16.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spans="1:26" ht="16.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spans="1:26" ht="16.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spans="1:26" ht="16.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spans="1:26" ht="16.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spans="1:26" ht="16.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spans="1:26" ht="16.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spans="1:26" ht="16.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spans="1:26" ht="16.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spans="1:26" ht="16.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spans="1:26" ht="16.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spans="1:26" ht="16.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spans="1:26" ht="16.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spans="1:26" ht="16.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spans="1:26" ht="16.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spans="1:26" ht="16.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spans="1:26" ht="16.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spans="1:26" ht="16.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spans="1:26" ht="16.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spans="1:26" ht="16.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spans="1:26" ht="16.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spans="1:26" ht="16.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spans="1:26" ht="16.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spans="1:26" ht="16.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spans="1:26" ht="16.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spans="1:26" ht="16.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spans="1:26" ht="16.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spans="1:26" ht="16.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spans="1:26" ht="16.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spans="1:26" ht="16.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spans="1:26" ht="16.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spans="1:26" ht="16.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spans="1:26" ht="16.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spans="1:26" ht="16.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spans="1:26" ht="16.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spans="1:26" ht="16.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spans="1:26" ht="16.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spans="1:26" ht="16.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spans="1:26" ht="16.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spans="1:26" ht="16.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spans="1:26" ht="16.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spans="1:26" ht="16.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spans="1:26" ht="16.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spans="1:26" ht="16.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spans="1:26" ht="16.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spans="1:26" ht="16.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spans="1:26" ht="16.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spans="1:26" ht="16.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spans="1:26" ht="16.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spans="1:26" ht="16.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spans="1:26" ht="16.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spans="1:26" ht="16.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spans="1:26" ht="16.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spans="1:26" ht="16.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spans="1:26" ht="16.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spans="1:26" ht="16.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spans="1:26" ht="16.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spans="1:26" ht="16.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spans="1:26" ht="16.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spans="1:26" ht="16.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spans="1:26" ht="16.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spans="1:26" ht="16.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spans="1:26" ht="16.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spans="1:26" ht="16.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spans="1:26" ht="16.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spans="1:26" ht="16.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spans="1:26" ht="16.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spans="1:26" ht="16.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spans="1:26" ht="16.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spans="1:26" ht="16.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spans="1:26" ht="16.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spans="1:26" ht="16.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spans="1:26" ht="16.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spans="1:26" ht="16.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spans="1:26" ht="16.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spans="1:26" ht="16.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spans="1:26" ht="16.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spans="1:26" ht="16.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spans="1:26" ht="16.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spans="1:26" ht="16.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spans="1:26" ht="16.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spans="1:26" ht="16.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spans="1:26" ht="16.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spans="1:26" ht="16.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spans="1:26" ht="16.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spans="1:26" ht="16.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spans="1:26" ht="16.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spans="1:26" ht="16.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spans="1:26" ht="16.5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spans="1:26" ht="16.5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spans="1:26" ht="16.5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spans="1:26" ht="16.5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spans="1:26" ht="16.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spans="1:26" ht="16.5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spans="1:26" ht="16.5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spans="1:26" ht="16.5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spans="1:26" ht="16.5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spans="1:26" ht="16.5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spans="1:26" ht="16.5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spans="1:26" ht="16.5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spans="1:26" ht="16.5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spans="1:26" ht="16.5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spans="1:26" ht="16.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spans="1:26" ht="16.5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spans="1:26" ht="16.5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spans="1:26" ht="16.5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spans="1:26" ht="16.5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spans="1:26" ht="16.5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spans="1:26" ht="16.5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spans="1:26" ht="16.5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spans="1:26" ht="16.5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spans="1:26" ht="16.5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spans="1:26" ht="16.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spans="1:26" ht="16.5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spans="1:26" ht="16.5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spans="1:26" ht="16.5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spans="1:26" ht="16.5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spans="1:26" ht="16.5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spans="1:26" ht="16.5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spans="1:26" ht="16.5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spans="1:26" ht="16.5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spans="1:26" ht="16.5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spans="1:26" ht="16.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spans="1:26" ht="16.5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spans="1:26" ht="16.5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spans="1:26" ht="16.5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spans="1:26" ht="16.5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spans="1:26" ht="16.5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spans="1:26" ht="16.5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spans="1:26" ht="16.5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spans="1:26" ht="16.5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spans="1:26" ht="16.5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spans="1:26" ht="16.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spans="1:26" ht="16.5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spans="1:26" ht="16.5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spans="1:26" ht="16.5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spans="1:26" ht="16.5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spans="1:26" ht="16.5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spans="1:26" ht="16.5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spans="1:26" ht="16.5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spans="1:26" ht="16.5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spans="1:26" ht="16.5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spans="1:26" ht="16.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spans="1:26" ht="16.5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spans="1:26" ht="16.5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spans="1:26" ht="16.5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spans="1:26" ht="16.5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spans="1:26" ht="16.5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spans="1:26" ht="16.5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spans="1:26" ht="16.5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spans="1:26" ht="16.5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spans="1:26" ht="16.5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spans="1:26" ht="16.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spans="1:26" ht="16.5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spans="1:26" ht="16.5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spans="1:26" ht="16.5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spans="1:26" ht="16.5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spans="1:26" ht="16.5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spans="1:26" ht="16.5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spans="1:26" ht="16.5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spans="1:26" ht="16.5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spans="1:26" ht="16.5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spans="1:26" ht="16.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spans="1:26" ht="16.5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spans="1:26" ht="16.5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spans="1:26" ht="16.5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spans="1:26" ht="16.5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spans="1:26" ht="16.5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spans="1:26" ht="16.5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spans="1:26" ht="16.5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spans="1:26" ht="16.5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spans="1:26" ht="16.5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spans="1:26" ht="16.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spans="1:26" ht="16.5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spans="1:26" ht="16.5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spans="1:26" ht="16.5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spans="1:26" ht="16.5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spans="1:26" ht="16.5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spans="1:26" ht="16.5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spans="1:26" ht="16.5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spans="1:26" ht="16.5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spans="1:26" ht="16.5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spans="1:26" ht="16.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spans="1:26" ht="16.5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spans="1:26" ht="16.5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spans="1:26" ht="16.5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spans="1:26" ht="16.5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spans="1:26" ht="16.5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spans="1:26" ht="16.5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spans="1:26" ht="16.5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spans="1:26" ht="16.5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spans="1:26" ht="16.5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spans="1:26" ht="16.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spans="1:26" ht="16.5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spans="1:26" ht="16.5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spans="1:26" ht="16.5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spans="1:26" ht="16.5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spans="1:26" ht="16.5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spans="1:26" ht="16.5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spans="1:26" ht="16.5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spans="1:26" ht="16.5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spans="1:26" ht="16.5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spans="1:26" ht="16.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spans="1:26" ht="16.5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spans="1:26" ht="16.5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spans="1:26" ht="16.5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spans="1:26" ht="16.5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spans="1:26" ht="16.5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spans="1:26" ht="16.5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spans="1:26" ht="16.5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spans="1:26" ht="16.5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spans="1:26" ht="16.5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spans="1:26" ht="16.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spans="1:26" ht="16.5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spans="1:26" ht="16.5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spans="1:26" ht="16.5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spans="1:26" ht="16.5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spans="1:26" ht="16.5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spans="1:26" ht="16.5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spans="1:26" ht="16.5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spans="1:26" ht="16.5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spans="1:26" ht="16.5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spans="1:26" ht="16.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spans="1:26" ht="16.5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spans="1:26" ht="16.5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spans="1:26" ht="16.5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spans="1:26" ht="16.5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spans="1:26" ht="16.5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spans="1:26" ht="16.5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spans="1:26" ht="16.5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spans="1:26" ht="16.5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spans="1:26" ht="16.5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spans="1:26" ht="16.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spans="1:26" ht="16.5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spans="1:26" ht="16.5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spans="1:26" ht="16.5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spans="1:26" ht="16.5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spans="1:26" ht="16.5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spans="1:26" ht="16.5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spans="1:26" ht="16.5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spans="1:26" ht="16.5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spans="1:26" ht="16.5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spans="1:26" ht="16.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spans="1:26" ht="16.5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spans="1:26" ht="16.5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spans="1:26" ht="16.5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spans="1:26" ht="16.5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spans="1:26" ht="16.5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spans="1:26" ht="16.5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spans="1:26" ht="16.5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spans="1:26" ht="16.5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spans="1:26" ht="16.5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spans="1:26" ht="16.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spans="1:26" ht="16.5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spans="1:26" ht="16.5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spans="1:26" ht="16.5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spans="1:26" ht="16.5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spans="1:26" ht="16.5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spans="1:26" ht="16.5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spans="1:26" ht="16.5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spans="1:26" ht="16.5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spans="1:26" ht="16.5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spans="1:26" ht="16.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spans="1:26" ht="16.5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spans="1:26" ht="16.5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spans="1:26" ht="16.5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spans="1:26" ht="16.5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spans="1:26" ht="16.5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spans="1:26" ht="16.5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spans="1:26" ht="16.5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spans="1:26" ht="16.5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spans="1:26" ht="16.5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spans="1:26" ht="16.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spans="1:26" ht="16.5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spans="1:26" ht="16.5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spans="1:26" ht="16.5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spans="1:26" ht="16.5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spans="1:26" ht="16.5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spans="1:26" ht="16.5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spans="1:26" ht="16.5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spans="1:26" ht="16.5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spans="1:26" ht="16.5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spans="1:26" ht="16.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spans="1:26" ht="16.5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spans="1:26" ht="16.5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spans="1:26" ht="16.5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spans="1:26" ht="16.5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spans="1:26" ht="16.5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spans="1:26" ht="16.5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spans="1:26" ht="16.5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spans="1:26" ht="16.5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spans="1:26" ht="16.5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spans="1:26" ht="16.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spans="1:26" ht="16.5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spans="1:26" ht="16.5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spans="1:26" ht="16.5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spans="1:26" ht="16.5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spans="1:26" ht="16.5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spans="1:26" ht="16.5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spans="1:26" ht="16.5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spans="1:26" ht="16.5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spans="1:26" ht="16.5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spans="1:26" ht="16.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spans="1:26" ht="16.5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spans="1:26" ht="16.5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spans="1:26" ht="16.5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spans="1:26" ht="16.5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spans="1:26" ht="16.5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spans="1:26" ht="16.5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spans="1:26" ht="16.5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spans="1:26" ht="16.5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spans="1:26" ht="16.5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spans="1:26" ht="16.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spans="1:26" ht="16.5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spans="1:26" ht="16.5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spans="1:26" ht="16.5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spans="1:26" ht="16.5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spans="1:26" ht="16.5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spans="1:26" ht="16.5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spans="1:26" ht="16.5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spans="1:26" ht="16.5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spans="1:26" ht="16.5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spans="1:26" ht="16.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spans="1:26" ht="16.5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spans="1:26" ht="16.5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spans="1:26" ht="16.5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spans="1:26" ht="16.5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spans="1:26" ht="16.5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spans="1:26" ht="16.5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spans="1:26" ht="16.5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spans="1:26" ht="16.5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spans="1:26" ht="16.5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spans="1:26" ht="16.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spans="1:26" ht="16.5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spans="1:26" ht="16.5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spans="1:26" ht="16.5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spans="1:26" ht="16.5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spans="1:26" ht="16.5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spans="1:26" ht="16.5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spans="1:26" ht="16.5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spans="1:26" ht="16.5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spans="1:26" ht="16.5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spans="1:26" ht="16.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spans="1:26" ht="16.5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spans="1:26" ht="16.5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spans="1:26" ht="16.5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spans="1:26" ht="16.5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spans="1:26" ht="16.5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spans="1:26" ht="16.5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spans="1:26" ht="16.5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spans="1:26" ht="16.5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spans="1:26" ht="16.5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spans="1:26" ht="16.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spans="1:26" ht="16.5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spans="1:26" ht="16.5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spans="1:26" ht="16.5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spans="1:26" ht="16.5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spans="1:26" ht="16.5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spans="1:26" ht="16.5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spans="1:26" ht="16.5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spans="1:26" ht="16.5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spans="1:26" ht="16.5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spans="1:26" ht="16.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spans="1:26" ht="16.5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spans="1:26" ht="16.5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spans="1:26" ht="16.5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spans="1:26" ht="16.5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spans="1:26" ht="16.5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spans="1:26" ht="16.5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spans="1:26" ht="16.5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spans="1:26" ht="16.5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spans="1:26" ht="16.5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spans="1:26" ht="16.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spans="1:26" ht="16.5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spans="1:26" ht="16.5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spans="1:26" ht="16.5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spans="1:26" ht="16.5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spans="1:26" ht="16.5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spans="1:26" ht="16.5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spans="1:26" ht="16.5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spans="1:26" ht="16.5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spans="1:26" ht="16.5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spans="1:26" ht="16.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spans="1:26" ht="16.5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spans="1:26" ht="16.5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spans="1:26" ht="16.5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spans="1:26" ht="16.5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spans="1:26" ht="16.5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spans="1:26" ht="16.5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spans="1:26" ht="16.5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spans="1:26" ht="16.5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spans="1:26" ht="16.5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spans="1:26" ht="16.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spans="1:26" ht="16.5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spans="1:26" ht="16.5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spans="1:26" ht="16.5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spans="1:26" ht="16.5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spans="1:26" ht="16.5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spans="1:26" ht="16.5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spans="1:26" ht="16.5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spans="1:26" ht="16.5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spans="1:26" ht="16.5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spans="1:26" ht="16.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spans="1:26" ht="16.5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spans="1:26" ht="16.5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spans="1:26" ht="16.5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spans="1:26" ht="16.5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spans="1:26" ht="16.5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spans="1:26" ht="16.5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spans="1:26" ht="16.5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spans="1:26" ht="16.5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spans="1:26" ht="16.5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spans="1:26" ht="16.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spans="1:26" ht="16.5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spans="1:26" ht="16.5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spans="1:26" ht="16.5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spans="1:26" ht="16.5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spans="1:26" ht="16.5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spans="1:26" ht="16.5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spans="1:26" ht="16.5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spans="1:26" ht="16.5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spans="1:26" ht="16.5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spans="1:26" ht="16.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spans="1:26" ht="16.5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spans="1:26" ht="16.5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spans="1:26" ht="16.5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spans="1:26" ht="16.5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spans="1:26" ht="16.5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spans="1:26" ht="16.5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spans="1:26" ht="16.5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spans="1:26" ht="16.5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spans="1:26" ht="16.5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spans="1:26" ht="16.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spans="1:26" ht="16.5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spans="1:26" ht="16.5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spans="1:26" ht="16.5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spans="1:26" ht="16.5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spans="1:26" ht="16.5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spans="1:26" ht="16.5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spans="1:26" ht="16.5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spans="1:26" ht="16.5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spans="1:26" ht="16.5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spans="1:26" ht="16.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spans="1:26" ht="16.5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spans="1:26" ht="16.5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spans="1:26" ht="16.5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spans="1:26" ht="16.5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spans="1:26" ht="16.5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spans="1:26" ht="16.5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spans="1:26" ht="16.5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spans="1:26" ht="16.5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spans="1:26" ht="16.5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spans="1:26" ht="16.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spans="1:26" ht="16.5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spans="1:26" ht="16.5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spans="1:26" ht="16.5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spans="1:26" ht="16.5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spans="1:26" ht="16.5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spans="1:26" ht="16.5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spans="1:26" ht="16.5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spans="1:26" ht="16.5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spans="1:26" ht="16.5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spans="1:26" ht="16.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spans="1:26" ht="16.5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spans="1:26" ht="16.5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spans="1:26" ht="16.5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spans="1:26" ht="16.5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spans="1:26" ht="16.5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spans="1:26" ht="16.5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spans="1:26" ht="16.5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spans="1:26" ht="16.5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spans="1:26" ht="16.5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spans="1:26" ht="16.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spans="1:26" ht="16.5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spans="1:26" ht="16.5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spans="1:26" ht="16.5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spans="1:26" ht="16.5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spans="1:26" ht="16.5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spans="1:26" ht="16.5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spans="1:26" ht="16.5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spans="1:26" ht="16.5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spans="1:26" ht="16.5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spans="1:26" ht="16.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spans="1:26" ht="16.5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spans="1:26" ht="16.5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spans="1:26" ht="16.5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spans="1:26" ht="16.5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spans="1:26" ht="16.5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spans="1:26" ht="16.5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spans="1:26" ht="16.5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spans="1:26" ht="16.5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spans="1:26" ht="16.5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spans="1:26" ht="16.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spans="1:26" ht="16.5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spans="1:26" ht="16.5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spans="1:26" ht="16.5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spans="1:26" ht="16.5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spans="1:26" ht="16.5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spans="1:26" ht="16.5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spans="1:26" ht="16.5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spans="1:26" ht="16.5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spans="1:26" ht="16.5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spans="1:26" ht="16.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spans="1:26" ht="16.5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spans="1:26" ht="16.5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spans="1:26" ht="16.5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spans="1:26" ht="16.5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spans="1:26" ht="16.5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spans="1:26" ht="16.5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spans="1:26" ht="16.5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spans="1:26" ht="16.5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spans="1:26" ht="16.5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spans="1:26" ht="16.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spans="1:26" ht="16.5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spans="1:26" ht="16.5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spans="1:26" ht="16.5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spans="1:26" ht="16.5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spans="1:26" ht="16.5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spans="1:26" ht="16.5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spans="1:26" ht="16.5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spans="1:26" ht="16.5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spans="1:26" ht="16.5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spans="1:26" ht="16.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spans="1:26" ht="16.5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spans="1:26" ht="16.5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spans="1:26" ht="16.5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spans="1:26" ht="16.5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spans="1:26" ht="16.5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spans="1:26" ht="16.5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spans="1:26" ht="16.5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spans="1:26" ht="16.5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spans="1:26" ht="16.5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spans="1:26" ht="16.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spans="1:26" ht="16.5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spans="1:26" ht="16.5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spans="1:26" ht="16.5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spans="1:26" ht="16.5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spans="1:26" ht="16.5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spans="1:26" ht="16.5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spans="1:26" ht="16.5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spans="1:26" ht="16.5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spans="1:26" ht="16.5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spans="1:26" ht="16.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spans="1:26" ht="16.5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spans="1:26" ht="16.5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spans="1:26" ht="16.5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spans="1:26" ht="16.5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spans="1:26" ht="16.5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spans="1:26" ht="16.5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spans="1:26" ht="16.5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spans="1:26" ht="16.5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spans="1:26" ht="16.5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spans="1:26" ht="16.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spans="1:26" ht="16.5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spans="1:26" ht="16.5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spans="1:26" ht="16.5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spans="1:26" ht="16.5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spans="1:26" ht="16.5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spans="1:26" ht="16.5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spans="1:26" ht="16.5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spans="1:26" ht="16.5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spans="1:26" ht="16.5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spans="1:26" ht="16.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spans="1:26" ht="16.5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spans="1:26" ht="16.5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spans="1:26" ht="16.5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spans="1:26" ht="16.5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spans="1:26" ht="16.5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spans="1:26" ht="16.5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spans="1:26" ht="16.5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spans="1:26" ht="16.5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spans="1:26" ht="16.5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spans="1:26" ht="16.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spans="1:26" ht="16.5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spans="1:26" ht="16.5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spans="1:26" ht="16.5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spans="1:26" ht="16.5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spans="1:26" ht="16.5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spans="1:26" ht="16.5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spans="1:26" ht="16.5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spans="1:26" ht="16.5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spans="1:26" ht="16.5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spans="1:26" ht="16.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spans="1:26" ht="16.5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spans="1:26" ht="16.5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spans="1:26" ht="16.5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spans="1:26" ht="16.5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spans="1:26" ht="16.5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spans="1:26" ht="16.5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spans="1:26" ht="16.5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spans="1:26" ht="16.5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spans="1:26" ht="16.5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spans="1:26" ht="16.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spans="1:26" ht="16.5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spans="1:26" ht="16.5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spans="1:26" ht="16.5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spans="1:26" ht="16.5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spans="1:26" ht="16.5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spans="1:26" ht="16.5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spans="1:26" ht="16.5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spans="1:26" ht="16.5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spans="1:26" ht="16.5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spans="1:26" ht="16.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spans="1:26" ht="16.5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spans="1:26" ht="16.5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spans="1:26" ht="16.5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spans="1:26" ht="16.5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spans="1:26" ht="16.5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spans="1:26" ht="16.5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spans="1:26" ht="16.5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spans="1:26" ht="16.5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spans="1:26" ht="16.5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spans="1:26" ht="16.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spans="1:26" ht="16.5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spans="1:26" ht="16.5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spans="1:26" ht="16.5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spans="1:26" ht="16.5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spans="1:26" ht="16.5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spans="1:26" ht="16.5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spans="1:26" ht="16.5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spans="1:26" ht="16.5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spans="1:26" ht="16.5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spans="1:26" ht="16.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spans="1:26" ht="16.5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spans="1:26" ht="16.5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spans="1:26" ht="16.5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spans="1:26" ht="16.5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spans="1:26" ht="16.5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spans="1:26" ht="16.5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spans="1:26" ht="16.5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spans="1:26" ht="16.5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spans="1:26" ht="16.5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spans="1:26" ht="16.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spans="1:26" ht="16.5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spans="1:26" ht="16.5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spans="1:26" ht="16.5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spans="1:26" ht="16.5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spans="1:26" ht="16.5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spans="1:26" ht="16.5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spans="1:26" ht="16.5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spans="1:26" ht="16.5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spans="1:26" ht="16.5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spans="1:26" ht="16.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spans="1:26" ht="16.5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spans="1:26" ht="16.5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spans="1:26" ht="16.5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spans="1:26" ht="16.5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spans="1:26" ht="16.5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spans="1:26" ht="16.5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spans="1:26" ht="16.5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spans="1:26" ht="16.5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spans="1:26" ht="16.5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spans="1:26" ht="16.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spans="1:26" ht="16.5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spans="1:26" ht="16.5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spans="1:26" ht="16.5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spans="1:26" ht="16.5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spans="1:26" ht="16.5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spans="1:26" ht="16.5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spans="1:26" ht="16.5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spans="1:26" ht="16.5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spans="1:26" ht="16.5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spans="1:26" ht="16.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spans="1:26" ht="16.5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spans="1:26" ht="16.5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spans="1:26" ht="16.5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spans="1:26" ht="16.5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spans="1:26" ht="16.5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spans="1:26" ht="16.5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spans="1:26" ht="16.5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spans="1:26" ht="16.5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spans="1:26" ht="16.5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spans="1:26" ht="16.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spans="1:26" ht="16.5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spans="1:26" ht="16.5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spans="1:26" ht="16.5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spans="1:26" ht="16.5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spans="1:26" ht="16.5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spans="1:26" ht="16.5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spans="1:26" ht="16.5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spans="1:26" ht="16.5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spans="1:26" ht="16.5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spans="1:26" ht="16.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spans="1:26" ht="16.5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spans="1:26" ht="16.5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</sheetData>
  <phoneticPr fontId="1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國小組</vt:lpstr>
      <vt:lpstr>評分標準</vt:lpstr>
      <vt:lpstr>優勝獎勵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鄭栢堯 (2026boyau)</cp:lastModifiedBy>
  <dcterms:created xsi:type="dcterms:W3CDTF">2026-06-26T04:46:11Z</dcterms:created>
  <dcterms:modified xsi:type="dcterms:W3CDTF">2026-06-26T04:46:12Z</dcterms:modified>
</cp:coreProperties>
</file>